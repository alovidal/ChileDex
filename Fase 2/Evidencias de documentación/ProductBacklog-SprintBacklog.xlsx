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Criterios de Aceptación" sheetId="2" state="visible" r:id="rId4"/>
    <sheet name="Resumen de Sprints" sheetId="3" state="visible" r:id="rId5"/>
    <sheet name="Sprint Backlog 1" sheetId="4" state="visible" r:id="rId6"/>
    <sheet name="Sprint Backlog 2" sheetId="5" state="visible" r:id="rId7"/>
    <sheet name="Sprint Backlog 3" sheetId="6" state="visible" r:id="rId8"/>
    <sheet name="Sprint Backlog 4" sheetId="7" state="visible" r:id="rId9"/>
  </sheets>
  <definedNames>
    <definedName function="false" hidden="false" localSheetId="0" name="_xlnm.Print_Area" vbProcedure="false">'Historias de Usuario'!$A$1:$I$27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<sst xmlns="http://schemas.openxmlformats.org/spreadsheetml/2006/main" count="911" uniqueCount="442">
  <si>
    <t xml:space="preserve">Desarrollo ágil: Pila de Producto (Product Backlog)</t>
  </si>
  <si>
    <t xml:space="preserve">Elaborado por: pmoinformatica.com</t>
  </si>
  <si>
    <t xml:space="preserve">Identificador (ID) de la Historia</t>
  </si>
  <si>
    <t xml:space="preserve">Enunciado de la Historia</t>
  </si>
  <si>
    <t xml:space="preserve">Alias</t>
  </si>
  <si>
    <t xml:space="preserve">Estado</t>
  </si>
  <si>
    <t xml:space="preserve">Dimensión / Esfuerzo</t>
  </si>
  <si>
    <t xml:space="preserve">Iteración (Sprint)</t>
  </si>
  <si>
    <t xml:space="preserve">Prioridad</t>
  </si>
  <si>
    <t xml:space="preserve">Comentarios</t>
  </si>
  <si>
    <t xml:space="preserve">CD-INF-001</t>
  </si>
  <si>
    <t xml:space="preserve">Como equipo de desarrollo, necesito contar con la base de datos del sistema creada y desplegada, con la finalidad de que el resto de las funcionalidades disponga de dónde almacenar la información.</t>
  </si>
  <si>
    <t xml:space="preserve">Modelo de datos</t>
  </si>
  <si>
    <t xml:space="preserve">Hecho</t>
  </si>
  <si>
    <t xml:space="preserve">Sprint 1</t>
  </si>
  <si>
    <t xml:space="preserve">Cerrada antes del 2 de octubre de 2026.</t>
  </si>
  <si>
    <t xml:space="preserve">CD-INF-002</t>
  </si>
  <si>
    <t xml:space="preserve">Como equipo de desarrollo, necesito un servicio backend con los endpoints básicos de consulta, con la finalidad de que la aplicación móvil pueda acceder a los datos.</t>
  </si>
  <si>
    <t xml:space="preserve">API base</t>
  </si>
  <si>
    <t xml:space="preserve">CD-INF-003</t>
  </si>
  <si>
    <t xml:space="preserve">Como equipo de desarrollo, necesito la estructura de navegación de la aplicación, con la finalidad de incorporar las pantallas de forma ordenada.</t>
  </si>
  <si>
    <t xml:space="preserve">Navegación base</t>
  </si>
  <si>
    <t xml:space="preserve">CD-USR-001</t>
  </si>
  <si>
    <t xml:space="preserve">Como visitante, necesito registrarme con mi correo y una contraseña, con la finalidad de guardar mis avistamientos y mi progreso.</t>
  </si>
  <si>
    <t xml:space="preserve">Registro de usuario</t>
  </si>
  <si>
    <t xml:space="preserve">Sprint 2</t>
  </si>
  <si>
    <t xml:space="preserve">CD-USR-002</t>
  </si>
  <si>
    <t xml:space="preserve">Como usuario registrado, necesito iniciar y cerrar sesión, con la finalidad de acceder a mi cuenta desde cualquier dispositivo.</t>
  </si>
  <si>
    <t xml:space="preserve">Inicio de sesión</t>
  </si>
  <si>
    <t xml:space="preserve">CD-USR-003</t>
  </si>
  <si>
    <t xml:space="preserve">Como usuario registrado, necesito recuperar mi contraseña si la olvido, con la finalidad de no perder el acceso a mi cuenta.</t>
  </si>
  <si>
    <t xml:space="preserve">Recuperación de contraseña</t>
  </si>
  <si>
    <t xml:space="preserve">CD-USR-004</t>
  </si>
  <si>
    <t xml:space="preserve">Como usuario registrado, necesito editar mi perfil y mi fotografía, con la finalidad de personalizar mi cuenta.</t>
  </si>
  <si>
    <t xml:space="preserve">Perfil de usuario</t>
  </si>
  <si>
    <t xml:space="preserve">CD-CAT-001</t>
  </si>
  <si>
    <t xml:space="preserve">Como visitante, necesito ver el listado de especies de la enciclopedia, con la finalidad de conocer qué puedo encontrar en la aplicación.</t>
  </si>
  <si>
    <t xml:space="preserve">Listado de especies</t>
  </si>
  <si>
    <t xml:space="preserve">CD-CAT-002</t>
  </si>
  <si>
    <t xml:space="preserve">Como visitante, necesito abrir la pantalla de ficha de una especie, con la finalidad de leer su información en un formato ordenado.</t>
  </si>
  <si>
    <t xml:space="preserve">Pantalla de ficha</t>
  </si>
  <si>
    <t xml:space="preserve">La pantalla está construida. El contenido de las 14 fichas se completa en CD-FIC-004.</t>
  </si>
  <si>
    <t xml:space="preserve">CD-CAT-003</t>
  </si>
  <si>
    <t xml:space="preserve">Como visitante, necesito filtrar el catálogo por zona geográfica y categoría, con la finalidad de encontrar rápidamente lo que busco.</t>
  </si>
  <si>
    <t xml:space="preserve">Filtros del catálogo</t>
  </si>
  <si>
    <t xml:space="preserve">CD-CAT-005</t>
  </si>
  <si>
    <t xml:space="preserve">Como visitante, necesito buscar una especie por su nombre común o científico, con la finalidad de llegar directamente a su ficha.</t>
  </si>
  <si>
    <t xml:space="preserve">Búsqueda de especies</t>
  </si>
  <si>
    <t xml:space="preserve">CD-LOG-001</t>
  </si>
  <si>
    <t xml:space="preserve">Como usuario registrado, necesito obtener logros al cumplir metas de exploración, con la finalidad de mantenerme motivado a seguir descubriendo.</t>
  </si>
  <si>
    <t xml:space="preserve">Sistema de logros</t>
  </si>
  <si>
    <t xml:space="preserve">Sprint 3</t>
  </si>
  <si>
    <t xml:space="preserve">CD-LOG-002</t>
  </si>
  <si>
    <t xml:space="preserve">Como usuario registrado, necesito recibir un aviso cuando obtengo un logro nuevo, con la finalidad de enterarme en el momento en que ocurre.</t>
  </si>
  <si>
    <t xml:space="preserve">Notificación de logros</t>
  </si>
  <si>
    <t xml:space="preserve">CD-LOG-003</t>
  </si>
  <si>
    <t xml:space="preserve">Como usuario registrado, necesito ver mi racha de días explorando, con la finalidad de sostener el hábito de salir a caminar.</t>
  </si>
  <si>
    <t xml:space="preserve">Racha de exploración</t>
  </si>
  <si>
    <t xml:space="preserve">CD-SAN-001</t>
  </si>
  <si>
    <t xml:space="preserve">Como visitante de un recinto, necesito activar el modo Santuario, con la finalidad de recorrer de forma guiada las especies en cautiverio.</t>
  </si>
  <si>
    <t xml:space="preserve">Modo Santuario</t>
  </si>
  <si>
    <t xml:space="preserve">CD-SAN-002</t>
  </si>
  <si>
    <t xml:space="preserve">Como visitante de un recinto, necesito ver mi avance en el recorrido por hábitat, con la finalidad de saber qué me falta por visitar.</t>
  </si>
  <si>
    <t xml:space="preserve">Avance del recorrido</t>
  </si>
  <si>
    <t xml:space="preserve">CD-EVE-001</t>
  </si>
  <si>
    <t xml:space="preserve">Como visitante, necesito ver la cartelera de talleres y actividades, con la finalidad de participar en las que me interesen.</t>
  </si>
  <si>
    <t xml:space="preserve">Cartelera de eventos</t>
  </si>
  <si>
    <t xml:space="preserve">CD-EVE-002</t>
  </si>
  <si>
    <t xml:space="preserve">Como administrador de contenido, necesito publicar y editar los eventos de la cartelera, con la finalidad de mantenerla actualizada.</t>
  </si>
  <si>
    <t xml:space="preserve">Gestión de eventos</t>
  </si>
  <si>
    <t xml:space="preserve">CD-IA-001</t>
  </si>
  <si>
    <t xml:space="preserve">Como equipo de desarrollo, necesito descargar un conjunto de fotografías con licencia abierta de las 14 especies del catálogo, con la finalidad de disponer de la materia prima para el reconocimiento.</t>
  </si>
  <si>
    <t xml:space="preserve">Descarga del conjunto de imágenes</t>
  </si>
  <si>
    <t xml:space="preserve">Planificada</t>
  </si>
  <si>
    <t xml:space="preserve">Sprint 4</t>
  </si>
  <si>
    <t xml:space="preserve">Fuente: iNaturalist a través de GBIF. Meta de 300 fotografías por especie, una por observación.</t>
  </si>
  <si>
    <t xml:space="preserve">CD-IA-002</t>
  </si>
  <si>
    <t xml:space="preserve">Como equipo de desarrollo, necesito depurar las fotografías descargadas, con la finalidad de que el modelo no aprenda de imágenes borrosas, repetidas o que no corresponden a la especie.</t>
  </si>
  <si>
    <t xml:space="preserve">Depuración del conjunto</t>
  </si>
  <si>
    <t xml:space="preserve">Filtros automáticos primero y revisión humana solo del 15% más dudoso.</t>
  </si>
  <si>
    <t xml:space="preserve">CD-IA-003</t>
  </si>
  <si>
    <t xml:space="preserve">Como equipo de desarrollo, necesito dividir el conjunto en entrenamiento, validación y prueba, con la finalidad de poder medir el modelo con fotografías que nunca vio.</t>
  </si>
  <si>
    <t xml:space="preserve">División del conjunto</t>
  </si>
  <si>
    <t xml:space="preserve">División 70/15/15. Ninguna especie puede quedar bajo 150 fotografías.</t>
  </si>
  <si>
    <t xml:space="preserve">CD-FIC-001</t>
  </si>
  <si>
    <t xml:space="preserve">Como equipo de desarrollo, necesito extraer los datos estructurados de las 14 especies desde fuentes oficiales, con la finalidad de que las fichas no dependan de información inventada.</t>
  </si>
  <si>
    <t xml:space="preserve">Datos oficiales de especies</t>
  </si>
  <si>
    <t xml:space="preserve">GBIF para nombres y distribución. RCE del Ministerio del Medio Ambiente para el estado de conservación.</t>
  </si>
  <si>
    <t xml:space="preserve">CD-CAM-001</t>
  </si>
  <si>
    <t xml:space="preserve">Como usuario registrado, necesito tomar una fotografía desde la aplicación, con la finalidad de iniciar la identificación de una especie.</t>
  </si>
  <si>
    <t xml:space="preserve">Captura de fotografía</t>
  </si>
  <si>
    <t xml:space="preserve">Incluye permisos de cámara en Android e iOS.</t>
  </si>
  <si>
    <t xml:space="preserve">CD-CAM-006</t>
  </si>
  <si>
    <t xml:space="preserve">Como usuario registrado, necesito que mi avistamiento quede guardado con su fecha y ubicación, con la finalidad de poder revisarlo después en mi historial.</t>
  </si>
  <si>
    <t xml:space="preserve">Registro de avistamiento</t>
  </si>
  <si>
    <t xml:space="preserve">Incluye permisos de geolocalización. Habilita el mapa y el progreso del catálogo.</t>
  </si>
  <si>
    <t xml:space="preserve">CD-IA-004</t>
  </si>
  <si>
    <t xml:space="preserve">Como equipo de desarrollo, necesito generar la representación numérica de cada especie a partir de sus fotografías, con la finalidad de poder comparar una foto nueva contra el catálogo.</t>
  </si>
  <si>
    <t xml:space="preserve">Centroides por especie</t>
  </si>
  <si>
    <t xml:space="preserve">Sprint 5</t>
  </si>
  <si>
    <t xml:space="preserve">Se usa BioCLIP 2 como modelo preentrenado. No se entrena una red desde cero.</t>
  </si>
  <si>
    <t xml:space="preserve">CD-IA-005</t>
  </si>
  <si>
    <t xml:space="preserve">Como equipo de desarrollo, necesito medir el desempeño del reconocedor sobre el conjunto de prueba, con la finalidad de saber qué tan confiable es antes de llevarlo a la aplicación.</t>
  </si>
  <si>
    <t xml:space="preserve">Evaluación del modelo</t>
  </si>
  <si>
    <t xml:space="preserve">Entregable evaluable: exactitud global, exactitud por especie y matriz de confusión.</t>
  </si>
  <si>
    <t xml:space="preserve">CD-IA-007</t>
  </si>
  <si>
    <t xml:space="preserve">Como equipo de desarrollo, necesito exponer el reconocedor como un servicio en línea, con la finalidad de que la aplicación móvil pueda consultarlo.</t>
  </si>
  <si>
    <t xml:space="preserve">Servicio de identificación</t>
  </si>
  <si>
    <t xml:space="preserve">Endpoint que recibe una fotografía y devuelve especie y nivel de confianza.</t>
  </si>
  <si>
    <t xml:space="preserve">CD-FIC-002</t>
  </si>
  <si>
    <t xml:space="preserve">Como equipo de contenido, necesito redactar la ficha descriptiva de cada una de las 14 especies, con la finalidad de que el usuario aprenda algo al identificarlas.</t>
  </si>
  <si>
    <t xml:space="preserve">Redacción de las 14 fichas</t>
  </si>
  <si>
    <t xml:space="preserve">Descripción, hábitat, dato curioso y fuente citada. Es el trabajo más largo del sprint.</t>
  </si>
  <si>
    <t xml:space="preserve">CD-FIC-003</t>
  </si>
  <si>
    <t xml:space="preserve">Como equipo de contenido, necesito una fotografía de referencia por especie con su crédito y licencia, con la finalidad de ilustrar el catálogo sin infringir derechos de autor.</t>
  </si>
  <si>
    <t xml:space="preserve">Imágenes de referencia</t>
  </si>
  <si>
    <t xml:space="preserve">Se seleccionan desde el manifiesto de licencias generado en CD-IA-001.</t>
  </si>
  <si>
    <t xml:space="preserve">CD-CAT-004</t>
  </si>
  <si>
    <t xml:space="preserve">Como usuario registrado, necesito distinguir las especies que ya descubrí de las que aún no, con la finalidad de saber cuánto me falta para completar la enciclopedia.</t>
  </si>
  <si>
    <t xml:space="preserve">Progreso del catálogo</t>
  </si>
  <si>
    <t xml:space="preserve">Depende de CD-CAM-006. Es el mecanismo que sostiene la gamificación.</t>
  </si>
  <si>
    <t xml:space="preserve">CD-IA-006</t>
  </si>
  <si>
    <t xml:space="preserve">Como equipo de desarrollo, necesito calcular con un método estadístico el umbral bajo el cual no se debe afirmar una especie, con la finalidad de que la aplicación reconozca cuándo no sabe.</t>
  </si>
  <si>
    <t xml:space="preserve">Calibración del umbral</t>
  </si>
  <si>
    <t xml:space="preserve">Sprint 6</t>
  </si>
  <si>
    <t xml:space="preserve">Se implementa con conformal prediction sobre el conjunto de validación. Es la parte diferenciadora del proyecto.</t>
  </si>
  <si>
    <t xml:space="preserve">CD-CAM-002</t>
  </si>
  <si>
    <t xml:space="preserve">Como usuario registrado, necesito que la aplicación identifique la especie de mi fotografía, con la finalidad de saber qué estoy observando.</t>
  </si>
  <si>
    <t xml:space="preserve">Identificación por IA en la app</t>
  </si>
  <si>
    <t xml:space="preserve">Historia de mayor riesgo técnico. Depende de CD-IA-007.</t>
  </si>
  <si>
    <t xml:space="preserve">CD-FIC-004</t>
  </si>
  <si>
    <t xml:space="preserve">Como visitante, necesito que la ficha de especie muestre su descripción, hábitat y estado de conservación, con la finalidad de aprender sobre lo que acabo de ver.</t>
  </si>
  <si>
    <t xml:space="preserve">Carga de las fichas en la app</t>
  </si>
  <si>
    <t xml:space="preserve">Conecta el contenido de CD-FIC-002 con la pantalla ya construida en CD-CAT-002.</t>
  </si>
  <si>
    <t xml:space="preserve">CD-CAT-006</t>
  </si>
  <si>
    <t xml:space="preserve">Como visitante, necesito ver el crédito del autor y la licencia de cada fotografía, con la finalidad de conocer su procedencia.</t>
  </si>
  <si>
    <t xml:space="preserve">Créditos de imágenes</t>
  </si>
  <si>
    <t xml:space="preserve">Obligatorio por las licencias Creative Commons de las imágenes.</t>
  </si>
  <si>
    <t xml:space="preserve">CD-IA-008</t>
  </si>
  <si>
    <t xml:space="preserve">Como equipo de desarrollo, necesito reforzar las especies con peor desempeño en la evaluación, con la finalidad de llegar a la presentación con un reconocedor parejo.</t>
  </si>
  <si>
    <t xml:space="preserve">Refuerzo de especies débiles</t>
  </si>
  <si>
    <t xml:space="preserve">Sprint 7</t>
  </si>
  <si>
    <t xml:space="preserve">Holgura planificada. Si la evaluación salió pareja, este esfuerzo absorbe atrasos de otras historias.</t>
  </si>
  <si>
    <t xml:space="preserve">CD-CAM-003</t>
  </si>
  <si>
    <t xml:space="preserve">Como usuario registrado, necesito poder elegir si quiero identificar la especie o solo registrar el avistamiento, con la finalidad de anotar lo que vi aunque no sepa qué es.</t>
  </si>
  <si>
    <t xml:space="preserve">Registro sin identificar</t>
  </si>
  <si>
    <t xml:space="preserve">Corresponde a la primera decisión del diagrama de estados.</t>
  </si>
  <si>
    <t xml:space="preserve">CD-CAM-004</t>
  </si>
  <si>
    <t xml:space="preserve">Como usuario registrado, necesito que la aplicación me indique cuando no está segura del resultado, con la finalidad de no recibir información incorrecta.</t>
  </si>
  <si>
    <t xml:space="preserve">Aviso de baja confianza</t>
  </si>
  <si>
    <t xml:space="preserve">Aplica en la app el umbral calculado en CD-IA-006.</t>
  </si>
  <si>
    <t xml:space="preserve">CD-CAM-005</t>
  </si>
  <si>
    <t xml:space="preserve">Como usuario registrado, necesito ver un aviso claro si falla la conexión durante la identificación, con la finalidad de poder reintentar sin perder la fotografía.</t>
  </si>
  <si>
    <t xml:space="preserve">Manejo de errores de red</t>
  </si>
  <si>
    <t xml:space="preserve">CD-MAP-001</t>
  </si>
  <si>
    <t xml:space="preserve">Como usuario registrado, necesito ver mis avistamientos ubicados en un mapa, con la finalidad de recordar dónde encontré cada especie.</t>
  </si>
  <si>
    <t xml:space="preserve">Mapa de avistamientos</t>
  </si>
  <si>
    <t xml:space="preserve">Depende de CD-CAM-006.</t>
  </si>
  <si>
    <t xml:space="preserve">CD-MAP-003</t>
  </si>
  <si>
    <t xml:space="preserve">Como usuario registrado, necesito abrir la ficha de la especie desde un punto del mapa, con la finalidad de recordar qué fue lo que observé en ese lugar.</t>
  </si>
  <si>
    <t xml:space="preserve">Detalle desde el mapa</t>
  </si>
  <si>
    <t xml:space="preserve">CD-INF-004</t>
  </si>
  <si>
    <t xml:space="preserve">Como equipo de desarrollo, necesito desplegar la aplicación en un ambiente de pruebas, con la finalidad de realizar el piloto de uso en terreno.</t>
  </si>
  <si>
    <t xml:space="preserve">Despliegue y piloto</t>
  </si>
  <si>
    <t xml:space="preserve">Condición para la presentación final de diciembre.</t>
  </si>
  <si>
    <t xml:space="preserve">CD-MAP-002</t>
  </si>
  <si>
    <t xml:space="preserve">Como visitante, necesito ver los parques y senderos cercanos a mi ubicación, con la finalidad de decidir dónde salir a explorar.</t>
  </si>
  <si>
    <t xml:space="preserve">Parques cercanos</t>
  </si>
  <si>
    <t xml:space="preserve">Descartada</t>
  </si>
  <si>
    <t xml:space="preserve">—</t>
  </si>
  <si>
    <t xml:space="preserve">Descartada para esta entrega por no contar con una fuente oficial de senderos. Queda como mejora futura.</t>
  </si>
  <si>
    <t xml:space="preserve">ChileDex: Criterios de Aceptación de las Historias</t>
  </si>
  <si>
    <t xml:space="preserve">Complemento del Product Backlog. Una historia se considera terminada cuando cumple todos sus criterios.</t>
  </si>
  <si>
    <t xml:space="preserve">ID de la Historia</t>
  </si>
  <si>
    <t xml:space="preserve">N°</t>
  </si>
  <si>
    <t xml:space="preserve">Criterio de aceptación</t>
  </si>
  <si>
    <t xml:space="preserve">Las tablas especie, usuario, avistamiento, logro y sus relaciones están creadas y desplegadas.</t>
  </si>
  <si>
    <t xml:space="preserve">Cada especie almacena nombre común, nombre científico, familia, origen y estado de conservación.</t>
  </si>
  <si>
    <t xml:space="preserve">Un avistamiento queda asociado obligatoriamente a un usuario y opcionalmente a una especie.</t>
  </si>
  <si>
    <t xml:space="preserve">Existen endpoints para listar especies, obtener el detalle de una especie y registrar un avistamiento.</t>
  </si>
  <si>
    <t xml:space="preserve">Cada endpoint responde en formato JSON y devuelve un código de error claro cuando falla.</t>
  </si>
  <si>
    <t xml:space="preserve">La documentación de la API es accesible y permite probar los endpoints desde el navegador.</t>
  </si>
  <si>
    <t xml:space="preserve">La aplicación abre con una barra de navegación que da acceso a enciclopedia, cámara, mapa y perfil.</t>
  </si>
  <si>
    <t xml:space="preserve">Al cambiar de sección se conserva el estado de la sección anterior.</t>
  </si>
  <si>
    <t xml:space="preserve">La navegación funciona tanto en Android como en iOS.</t>
  </si>
  <si>
    <t xml:space="preserve">El formulario valida que el correo tenga formato válido y que la contraseña tenga al menos ocho caracteres.</t>
  </si>
  <si>
    <t xml:space="preserve">No se permite registrar dos cuentas con el mismo correo electrónico.</t>
  </si>
  <si>
    <t xml:space="preserve">Al completar el registro, el usuario queda con la sesión iniciada y accede a la pantalla principal.</t>
  </si>
  <si>
    <t xml:space="preserve">Con credenciales correctas, el usuario accede a su cuenta y ve su progreso previo.</t>
  </si>
  <si>
    <t xml:space="preserve">Con credenciales incorrectas se muestra un mensaje de error sin revelar si el correo existe.</t>
  </si>
  <si>
    <t xml:space="preserve">Al cerrar sesión se elimina el token del dispositivo y la aplicación vuelve a la pantalla de inicio.</t>
  </si>
  <si>
    <t xml:space="preserve">El usuario solicita la recuperación indicando su correo y recibe un enlace válido por un tiempo limitado.</t>
  </si>
  <si>
    <t xml:space="preserve">El enlace permite definir una contraseña nueva una sola vez.</t>
  </si>
  <si>
    <t xml:space="preserve">Si el correo no está registrado, el mensaje mostrado es el mismo, para no revelar qué cuentas existen.</t>
  </si>
  <si>
    <t xml:space="preserve">El usuario puede modificar su nombre y su fotografía de perfil.</t>
  </si>
  <si>
    <t xml:space="preserve">Los cambios se reflejan de inmediato en la aplicación y quedan guardados en el servidor.</t>
  </si>
  <si>
    <t xml:space="preserve">La fotografía se redimensiona antes de subirse para no exceder el tamaño definido.</t>
  </si>
  <si>
    <t xml:space="preserve">El listado muestra las 14 especies con su fotografía, nombre común y nombre científico.</t>
  </si>
  <si>
    <t xml:space="preserve">El listado carga en menos de dos segundos con una conexión normal.</t>
  </si>
  <si>
    <t xml:space="preserve">Al tocar una especie se abre su ficha de detalle.</t>
  </si>
  <si>
    <t xml:space="preserve">La pantalla presenta nombre común, nombre científico, clasificación, origen, estado de conservación, descripción, hábitat y un dato curioso.</t>
  </si>
  <si>
    <t xml:space="preserve">La pantalla se adapta a textos de distinto largo sin cortar el contenido.</t>
  </si>
  <si>
    <t xml:space="preserve">Si un campo viene vacío desde la base de datos, no se muestra la etiqueta en blanco.</t>
  </si>
  <si>
    <t xml:space="preserve">Se puede filtrar por zona geográfica y por categoría de forma independiente o combinada.</t>
  </si>
  <si>
    <t xml:space="preserve">Al aplicar un filtro, el listado se actualiza sin recargar la pantalla completa.</t>
  </si>
  <si>
    <t xml:space="preserve">Existe una opción visible para limpiar todos los filtros.</t>
  </si>
  <si>
    <t xml:space="preserve">La búsqueda encuentra especies tanto por nombre común como por nombre científico.</t>
  </si>
  <si>
    <t xml:space="preserve">La búsqueda ignora mayúsculas, minúsculas y tildes.</t>
  </si>
  <si>
    <t xml:space="preserve">Si no hay coincidencias, se muestra un mensaje en lugar de una lista vacía.</t>
  </si>
  <si>
    <t xml:space="preserve">Existen al menos cinco logros definidos con su condición de obtención.</t>
  </si>
  <si>
    <t xml:space="preserve">El sistema evalúa las condiciones cada vez que se registra un avistamiento.</t>
  </si>
  <si>
    <t xml:space="preserve">Un logro obtenido no puede volver a perderse ni otorgarse dos veces.</t>
  </si>
  <si>
    <t xml:space="preserve">Al obtener un logro se muestra un aviso visible dentro de la aplicación.</t>
  </si>
  <si>
    <t xml:space="preserve">El aviso puede cerrarse y no vuelve a aparecer para ese logro.</t>
  </si>
  <si>
    <t xml:space="preserve">Los logros obtenidos quedan listados en el perfil del usuario.</t>
  </si>
  <si>
    <t xml:space="preserve">La racha cuenta los días consecutivos en que el usuario registró al menos un avistamiento.</t>
  </si>
  <si>
    <t xml:space="preserve">La racha se reinicia si pasa un día completo sin registros.</t>
  </si>
  <si>
    <t xml:space="preserve">La racha es visible en la pantalla de perfil.</t>
  </si>
  <si>
    <t xml:space="preserve">El modo Santuario se activa manualmente o al detectar que el usuario está dentro de un recinto registrado.</t>
  </si>
  <si>
    <t xml:space="preserve">Dentro del modo, las especies se agrupan por hábitat del recinto y no por zona geográfica.</t>
  </si>
  <si>
    <t xml:space="preserve">El modo puede desactivarse en cualquier momento volviendo a la vista normal.</t>
  </si>
  <si>
    <t xml:space="preserve">Se muestra el porcentaje de avance del recorrido por cada hábitat del recinto.</t>
  </si>
  <si>
    <t xml:space="preserve">Al completar el recorrido completo se otorga un reconocimiento especial.</t>
  </si>
  <si>
    <t xml:space="preserve">El avance se conserva si el usuario sale del recinto y vuelve otro día.</t>
  </si>
  <si>
    <t xml:space="preserve">La cartelera muestra los eventos vigentes ordenados por fecha.</t>
  </si>
  <si>
    <t xml:space="preserve">Cada evento muestra nombre, fecha, lugar y descripción.</t>
  </si>
  <si>
    <t xml:space="preserve">Los eventos pasados no aparecen en la cartelera.</t>
  </si>
  <si>
    <t xml:space="preserve">Un administrador puede crear, editar y desactivar eventos.</t>
  </si>
  <si>
    <t xml:space="preserve">Los cambios se reflejan en la cartelera sin necesidad de actualizar la aplicación.</t>
  </si>
  <si>
    <t xml:space="preserve">Solo las cuentas con rol de administrador acceden a esta función.</t>
  </si>
  <si>
    <t xml:space="preserve">Se descargan al menos 250 fotografías útiles por cada una de las 14 especies.</t>
  </si>
  <si>
    <t xml:space="preserve">Se toma una sola fotografía por observación, para que la misma escena no quede en entrenamiento y en prueba.</t>
  </si>
  <si>
    <t xml:space="preserve">Queda generado un manifiesto con el autor y la licencia de cada fotografía descargada.</t>
  </si>
  <si>
    <t xml:space="preserve">Se descartan automáticamente las fotografías bajo el tamaño mínimo, borrosas, en escala de grises o duplicadas.</t>
  </si>
  <si>
    <t xml:space="preserve">El sistema señala el 15% de fotografías más alejadas de su especie para revisión humana.</t>
  </si>
  <si>
    <t xml:space="preserve">Queda registrado cuántas fotografías quedaron por especie después de la depuración.</t>
  </si>
  <si>
    <t xml:space="preserve">El conjunto queda dividido en 70% entrenamiento, 15% validación y 15% prueba.</t>
  </si>
  <si>
    <t xml:space="preserve">La división usa una semilla fija y puede repetirse con el mismo resultado.</t>
  </si>
  <si>
    <t xml:space="preserve">Si una especie queda bajo 150 fotografías, el proceso lo advierte antes de continuar.</t>
  </si>
  <si>
    <t xml:space="preserve">Las 14 especies quedan con su nombre científico aceptado verificado, resolviendo los sinónimos.</t>
  </si>
  <si>
    <t xml:space="preserve">Cada especie tiene su nombre común en español usado en Chile.</t>
  </si>
  <si>
    <t xml:space="preserve">El estado de conservación indica la fuente de la que proviene la categoría.</t>
  </si>
  <si>
    <t xml:space="preserve">La aplicación solicita el permiso de cámara la primera vez y explica para qué lo necesita.</t>
  </si>
  <si>
    <t xml:space="preserve">Si el permiso es denegado, se muestra un mensaje con la instrucción para activarlo.</t>
  </si>
  <si>
    <t xml:space="preserve">La fotografía capturada se previsualiza antes de enviarse.</t>
  </si>
  <si>
    <t xml:space="preserve">El avistamiento se guarda con fecha, hora, coordenadas y la fotografía tomada.</t>
  </si>
  <si>
    <t xml:space="preserve">Si el usuario no otorga permiso de ubicación, el avistamiento se guarda igualmente sin coordenadas.</t>
  </si>
  <si>
    <t xml:space="preserve">El avistamiento aparece en el historial del usuario inmediatamente después de guardarse.</t>
  </si>
  <si>
    <t xml:space="preserve">Existe un vector representativo por cada una de las 14 especies, calculado sobre el conjunto de entrenamiento.</t>
  </si>
  <si>
    <t xml:space="preserve">Los vectores quedan guardados en un archivo que el servicio puede cargar al iniciar.</t>
  </si>
  <si>
    <t xml:space="preserve">El proceso es reproducible ejecutando un solo script.</t>
  </si>
  <si>
    <t xml:space="preserve">Se reporta la exactitud global sobre el conjunto de prueba.</t>
  </si>
  <si>
    <t xml:space="preserve">Se reporta la exactitud por especie y la matriz de confusión.</t>
  </si>
  <si>
    <t xml:space="preserve">Se identifican las especies que el modelo confunde entre sí y se documenta la causa probable.</t>
  </si>
  <si>
    <t xml:space="preserve">El servicio recibe una fotografía y devuelve la especie candidata con su nivel de confianza.</t>
  </si>
  <si>
    <t xml:space="preserve">El servicio responde en menos de cinco segundos en condiciones normales.</t>
  </si>
  <si>
    <t xml:space="preserve">El servicio está desplegado y es accesible desde fuera de la red local del equipo.</t>
  </si>
  <si>
    <t xml:space="preserve">Las 14 fichas tienen descripción, hábitat y un dato curioso, redactados en lenguaje para público general.</t>
  </si>
  <si>
    <t xml:space="preserve">Cada ficha cita la fuente de la que proviene su información.</t>
  </si>
  <si>
    <t xml:space="preserve">Ninguna ficha reproduce texto literal de una fuente con licencia restrictiva.</t>
  </si>
  <si>
    <t xml:space="preserve">Cada especie tiene una fotografía de referencia nítida y representativa.</t>
  </si>
  <si>
    <t xml:space="preserve">Cada fotografía tiene registrado su autor y su licencia.</t>
  </si>
  <si>
    <t xml:space="preserve">No se usan fotografías cuya licencia prohíba el uso en la aplicación.</t>
  </si>
  <si>
    <t xml:space="preserve">Las especies ya descubiertas se muestran a color y las no descubiertas en silueta.</t>
  </si>
  <si>
    <t xml:space="preserve">El encabezado del catálogo indica cuántas especies lleva descubiertas el usuario sobre el total.</t>
  </si>
  <si>
    <t xml:space="preserve">Al registrar un avistamiento nuevo, el estado de esa especie cambia de inmediato.</t>
  </si>
  <si>
    <t xml:space="preserve">El umbral se calcula sobre el conjunto de validación y no se fija a ojo.</t>
  </si>
  <si>
    <t xml:space="preserve">Se verifica empíricamente que la cobertura real se acerca al nivel de confianza declarado.</t>
  </si>
  <si>
    <t xml:space="preserve">El método distingue una fotografía dudosa de una especie que no está en el catálogo.</t>
  </si>
  <si>
    <t xml:space="preserve">Al enviar una fotografía, la aplicación devuelve una especie candidata en menos de cinco segundos con conexión normal.</t>
  </si>
  <si>
    <t xml:space="preserve">La respuesta incluye el nivel de confianza asociado al resultado.</t>
  </si>
  <si>
    <t xml:space="preserve">El resultado permite abrir directamente la ficha de la especie identificada.</t>
  </si>
  <si>
    <t xml:space="preserve">Las 14 fichas están cargadas en la base de datos y se muestran en la aplicación.</t>
  </si>
  <si>
    <t xml:space="preserve">Cuando una especie no tiene clasificación chilena, se muestra la categoría internacional indicando su origen.</t>
  </si>
  <si>
    <t xml:space="preserve">La ficha incluye la fuente de la información al pie.</t>
  </si>
  <si>
    <t xml:space="preserve">Cada fotografía muestra el nombre del autor y el tipo de licencia.</t>
  </si>
  <si>
    <t xml:space="preserve">El crédito es legible sin tapar la fotografía.</t>
  </si>
  <si>
    <t xml:space="preserve">La información proviene del manifiesto generado durante la construcción del dataset.</t>
  </si>
  <si>
    <t xml:space="preserve">Las especies bajo el desempeño objetivo reciben fotografías adicionales o una revisión de su conjunto.</t>
  </si>
  <si>
    <t xml:space="preserve">Se vuelve a evaluar el modelo y se compara contra la medición anterior.</t>
  </si>
  <si>
    <t xml:space="preserve">El resultado de la comparación queda documentado para el informe final.</t>
  </si>
  <si>
    <t xml:space="preserve">Después de tomar la fotografía, el usuario puede elegir entre identificar la especie o solo registrar el avistamiento.</t>
  </si>
  <si>
    <t xml:space="preserve">Si elige no identificar, el avistamiento se guarda sin especie asociada.</t>
  </si>
  <si>
    <t xml:space="preserve">Un avistamiento sin especie puede identificarse después desde el historial.</t>
  </si>
  <si>
    <t xml:space="preserve">Si la confianza queda bajo el umbral definido, la aplicación muestra «no identificado» en vez de proponer una especie.</t>
  </si>
  <si>
    <t xml:space="preserve">El umbral está calculado a partir del conjunto de calibración y no fijado arbitrariamente.</t>
  </si>
  <si>
    <t xml:space="preserve">Cuando no identifica, se ofrece guardar el avistamiento igualmente o descartarlo.</t>
  </si>
  <si>
    <t xml:space="preserve">Si falla la conexión, se muestra un mensaje que distingue el error de red de un resultado negativo.</t>
  </si>
  <si>
    <t xml:space="preserve">La fotografía se conserva y puede reenviarse sin volver a tomarla.</t>
  </si>
  <si>
    <t xml:space="preserve">El usuario puede descartar el intento y volver a la pantalla anterior.</t>
  </si>
  <si>
    <t xml:space="preserve">El mapa muestra un marcador por cada avistamiento del usuario.</t>
  </si>
  <si>
    <t xml:space="preserve">El mapa se centra inicialmente en la ubicación actual del usuario.</t>
  </si>
  <si>
    <t xml:space="preserve">Los avistamientos sin coordenadas no se muestran en el mapa y no provocan errores.</t>
  </si>
  <si>
    <t xml:space="preserve">Al tocar un marcador se muestra la especie, la fecha y la fotografía del avistamiento.</t>
  </si>
  <si>
    <t xml:space="preserve">Desde ese detalle se puede abrir la ficha completa de la especie.</t>
  </si>
  <si>
    <t xml:space="preserve">Si el avistamiento no tiene especie asociada, se indica explícitamente.</t>
  </si>
  <si>
    <t xml:space="preserve">La aplicación está instalable en dispositivos de prueba del equipo.</t>
  </si>
  <si>
    <t xml:space="preserve">El backend está desplegado y accesible desde fuera de la red local.</t>
  </si>
  <si>
    <t xml:space="preserve">Existe un procedimiento documentado para recoger la retroalimentación del piloto.</t>
  </si>
  <si>
    <t xml:space="preserve">El mapa muestra los parques y áreas verdes cercanos a la ubicación del usuario.</t>
  </si>
  <si>
    <t xml:space="preserve">Al tocar un parque se muestra su nombre y la cantidad de especies registradas en él.</t>
  </si>
  <si>
    <t xml:space="preserve">La información de parques proviene de una fuente verificable y citada.</t>
  </si>
  <si>
    <t xml:space="preserve">ChileDex: Recorrido de sprints y planificación restante</t>
  </si>
  <si>
    <t xml:space="preserve">Situación al 2 de octubre de 2026: tres sprints cerrados con la aplicación construida. Quedan cuatro sprints para el conjunto de datos, el reconocimiento de especies y el contenido de las fichas.</t>
  </si>
  <si>
    <t xml:space="preserve">Sprint</t>
  </si>
  <si>
    <t xml:space="preserve">Fechas (2026)</t>
  </si>
  <si>
    <t xml:space="preserve">Objetivo del sprint</t>
  </si>
  <si>
    <t xml:space="preserve">Historias</t>
  </si>
  <si>
    <t xml:space="preserve">Puntos</t>
  </si>
  <si>
    <t xml:space="preserve">17 al 28 de agosto</t>
  </si>
  <si>
    <t xml:space="preserve">Puesta en marcha: base de datos, servicios y navegación</t>
  </si>
  <si>
    <t xml:space="preserve">Cerrado</t>
  </si>
  <si>
    <t xml:space="preserve">31 de agosto al 11 de septiembre</t>
  </si>
  <si>
    <t xml:space="preserve">Cuenta de usuario y catálogo de especies</t>
  </si>
  <si>
    <t xml:space="preserve">14 de septiembre al 2 de octubre</t>
  </si>
  <si>
    <t xml:space="preserve">Logros, modo Santuario y cartelera de eventos</t>
  </si>
  <si>
    <t xml:space="preserve">5 al 16 de octubre</t>
  </si>
  <si>
    <t xml:space="preserve">Construcción del conjunto de datos y captura en la app</t>
  </si>
  <si>
    <t xml:space="preserve">En curso</t>
  </si>
  <si>
    <t xml:space="preserve">19 al 30 de octubre</t>
  </si>
  <si>
    <t xml:space="preserve">Modelo de reconocimiento y contenido de las fichas</t>
  </si>
  <si>
    <t xml:space="preserve">Planificado</t>
  </si>
  <si>
    <t xml:space="preserve">2 al 13 de noviembre</t>
  </si>
  <si>
    <t xml:space="preserve">Integración de la identificación en la aplicación</t>
  </si>
  <si>
    <t xml:space="preserve">16 al 27 de noviembre</t>
  </si>
  <si>
    <t xml:space="preserve">Mapa, cierre de detalles y piloto en terreno</t>
  </si>
  <si>
    <t xml:space="preserve">Total del proyecto</t>
  </si>
  <si>
    <t xml:space="preserve">Sprints cerrados: 18 historias y 63 puntos en 7 semanas, equivalentes a una velocidad de 9.0 puntos por semana.</t>
  </si>
  <si>
    <t xml:space="preserve">El Sprint 3 duró tres semanas por el feriado de Fiestas Patrias, que redujo la disponibilidad del equipo.</t>
  </si>
  <si>
    <t xml:space="preserve">Sprints restantes: 23 historias y 116 puntos en 8 semanas, equivalentes a 14.5 puntos por semana.</t>
  </si>
  <si>
    <t xml:space="preserve">El plan exige una velocidad mayor que la observada. Se sostiene porque la aplicación ya está construida y el trabajo restante está acotado al reconocimiento y al contenido, sin aprendizaje de herramientas nuevas de interfaz.</t>
  </si>
  <si>
    <t xml:space="preserve">Si la velocidad no alcanza, el orden de recorte declarado es: CD-MAP-003, CD-CAM-005, CD-MAP-001 y finalmente CD-IA-008, que ya está planificada como holgura del Sprint 7.</t>
  </si>
  <si>
    <t xml:space="preserve">La presentación del prototipo queda la primera semana de diciembre, una semana después de cerrar el Sprint 7.</t>
  </si>
  <si>
    <t xml:space="preserve">ChileDex: Pila del Sprint 1 (Sprint Backlog)</t>
  </si>
  <si>
    <t xml:space="preserve">Sprint 1 de 7 · 17 al 28 de agosto de 2026 · sprint cerrado · objetivo: puesta en marcha de la base de datos, los servicios y la navegación</t>
  </si>
  <si>
    <t xml:space="preserve">ID Historia</t>
  </si>
  <si>
    <t xml:space="preserve">Historia</t>
  </si>
  <si>
    <t xml:space="preserve">ID Tarea</t>
  </si>
  <si>
    <t xml:space="preserve">Descripción de la tarea</t>
  </si>
  <si>
    <t xml:space="preserve">Responsable</t>
  </si>
  <si>
    <t xml:space="preserve">Horas est.</t>
  </si>
  <si>
    <t xml:space="preserve">T-01</t>
  </si>
  <si>
    <t xml:space="preserve">Diseñar el modelo entidad-relación del sistema</t>
  </si>
  <si>
    <t xml:space="preserve">Alonso</t>
  </si>
  <si>
    <t xml:space="preserve">Hecha</t>
  </si>
  <si>
    <t xml:space="preserve">T-02</t>
  </si>
  <si>
    <t xml:space="preserve">Crear las tablas y relaciones en Supabase</t>
  </si>
  <si>
    <t xml:space="preserve">T-03</t>
  </si>
  <si>
    <t xml:space="preserve">Cargar datos de prueba y verificar la integridad referencial</t>
  </si>
  <si>
    <t xml:space="preserve">Configurar el proyecto FastAPI y su estructura</t>
  </si>
  <si>
    <t xml:space="preserve">Ignacio</t>
  </si>
  <si>
    <t xml:space="preserve">Implementar los endpoints de consulta de especies</t>
  </si>
  <si>
    <t xml:space="preserve">Documentar y probar los endpoints</t>
  </si>
  <si>
    <t xml:space="preserve">Configurar el proyecto Flutter y sus dependencias</t>
  </si>
  <si>
    <t xml:space="preserve">Narayani</t>
  </si>
  <si>
    <t xml:space="preserve">Implementar la barra de navegación principal</t>
  </si>
  <si>
    <t xml:space="preserve">Crear las pantallas vacías de cada sección</t>
  </si>
  <si>
    <t xml:space="preserve">T-04</t>
  </si>
  <si>
    <t xml:space="preserve">Acordar la paleta de colores y los estilos base</t>
  </si>
  <si>
    <t xml:space="preserve">Los tres</t>
  </si>
  <si>
    <t xml:space="preserve">Total de horas estimadas del Sprint 1</t>
  </si>
  <si>
    <t xml:space="preserve">Horas de Alonso</t>
  </si>
  <si>
    <t xml:space="preserve">Horas de Ignacio</t>
  </si>
  <si>
    <t xml:space="preserve">Horas de Narayani</t>
  </si>
  <si>
    <t xml:space="preserve">Horas de trabajo conjunto</t>
  </si>
  <si>
    <t xml:space="preserve">Puntos de historia completados</t>
  </si>
  <si>
    <t xml:space="preserve">Sprint cerrado. Las 10 tareas se completaron y sus historias figuran en estado Hecho en el Product Backlog. Las horas son las estimadas en la planificación del sprint. Las tareas marcadas «Los tres» se trabajaron en conjunto y las horas son por persona.</t>
  </si>
  <si>
    <t xml:space="preserve">ChileDex: Pila del Sprint 2 (Sprint Backlog)</t>
  </si>
  <si>
    <t xml:space="preserve">Sprint 2 de 7 · 31 de agosto al 11 de septiembre de 2026 · sprint cerrado · objetivo: cuenta de usuario y catálogo de especies</t>
  </si>
  <si>
    <t xml:space="preserve">Maquetar el formulario de registro</t>
  </si>
  <si>
    <t xml:space="preserve">Integrar la autenticación de Supabase</t>
  </si>
  <si>
    <t xml:space="preserve">Implementar las validaciones de correo y contraseña</t>
  </si>
  <si>
    <t xml:space="preserve">Maquetar la pantalla de inicio de sesión</t>
  </si>
  <si>
    <t xml:space="preserve">Implementar el manejo de sesión y el cierre</t>
  </si>
  <si>
    <t xml:space="preserve">Configurar el correo de recuperación en Supabase</t>
  </si>
  <si>
    <t xml:space="preserve">Construir la pantalla de contraseña nueva</t>
  </si>
  <si>
    <t xml:space="preserve">Construir la pantalla de edición de perfil</t>
  </si>
  <si>
    <t xml:space="preserve">Implementar la subida y el redimensionado de la fotografía</t>
  </si>
  <si>
    <t xml:space="preserve">Maquetar la grilla del catálogo</t>
  </si>
  <si>
    <t xml:space="preserve">Conectar la grilla con el endpoint de especies</t>
  </si>
  <si>
    <t xml:space="preserve">Maquetar la pantalla de ficha de especie</t>
  </si>
  <si>
    <t xml:space="preserve">Conectar la ficha con el endpoint de detalle</t>
  </si>
  <si>
    <t xml:space="preserve">Adaptar la pantalla a textos de distinto largo</t>
  </si>
  <si>
    <t xml:space="preserve">Definir las zonas y categorías en la base de datos</t>
  </si>
  <si>
    <t xml:space="preserve">Implementar los filtros sobre el listado</t>
  </si>
  <si>
    <t xml:space="preserve">Implementar la búsqueda ignorando tildes y mayúsculas</t>
  </si>
  <si>
    <t xml:space="preserve">Agregar la barra de búsqueda al catálogo</t>
  </si>
  <si>
    <t xml:space="preserve">Total de horas estimadas del Sprint 2</t>
  </si>
  <si>
    <t xml:space="preserve">Sprint cerrado. Las 18 tareas se completaron y sus historias figuran en estado Hecho en el Product Backlog. Las horas son las estimadas en la planificación del sprint. Las tareas marcadas «Los tres» se trabajaron en conjunto y las horas son por persona.</t>
  </si>
  <si>
    <t xml:space="preserve">ChileDex: Pila del Sprint 3 (Sprint Backlog)</t>
  </si>
  <si>
    <t xml:space="preserve">Sprint 3 de 7 · 14 de septiembre al 2 de octubre de 2026 · sprint cerrado · objetivo: logros, modo Santuario y cartelera de eventos</t>
  </si>
  <si>
    <t xml:space="preserve">Definir los logros y sus condiciones de obtención</t>
  </si>
  <si>
    <t xml:space="preserve">Modelar logros y logros obtenidos en la base de datos</t>
  </si>
  <si>
    <t xml:space="preserve">Implementar la evaluación de condiciones al registrar</t>
  </si>
  <si>
    <t xml:space="preserve">Construir el aviso dentro de la aplicación</t>
  </si>
  <si>
    <t xml:space="preserve">Agregar el listado de logros al perfil</t>
  </si>
  <si>
    <t xml:space="preserve">Implementar el cálculo de días consecutivos</t>
  </si>
  <si>
    <t xml:space="preserve">Mostrar la racha en la pantalla de perfil</t>
  </si>
  <si>
    <t xml:space="preserve">Modelar recintos y hábitats en la base de datos</t>
  </si>
  <si>
    <t xml:space="preserve">Implementar la activación manual y por ubicación</t>
  </si>
  <si>
    <t xml:space="preserve">Construir la vista de especies agrupadas por hábitat</t>
  </si>
  <si>
    <t xml:space="preserve">Probar el modo en terreno en el Parque Metropolitano</t>
  </si>
  <si>
    <t xml:space="preserve">Implementar el cálculo de avance por hábitat</t>
  </si>
  <si>
    <t xml:space="preserve">Mostrar el avance y el reconocimiento final</t>
  </si>
  <si>
    <t xml:space="preserve">Modelar los eventos en la base de datos</t>
  </si>
  <si>
    <t xml:space="preserve">Implementar el endpoint de eventos vigentes</t>
  </si>
  <si>
    <t xml:space="preserve">Construir la pantalla de cartelera ordenada por fecha</t>
  </si>
  <si>
    <t xml:space="preserve">Implementar el rol de administrador y el control de acceso</t>
  </si>
  <si>
    <t xml:space="preserve">Construir el formulario de creación y edición</t>
  </si>
  <si>
    <t xml:space="preserve">Verificar que los cambios se reflejen sin reinstalar</t>
  </si>
  <si>
    <t xml:space="preserve">Total de horas estimadas del Sprint 3</t>
  </si>
  <si>
    <t xml:space="preserve">Sprint cerrado. Las 19 tareas se completaron y sus historias figuran en estado Hecho en el Product Backlog. Las horas son las estimadas en la planificación del sprint. Las tareas marcadas «Los tres» se trabajaron en conjunto y las horas son por persona.</t>
  </si>
  <si>
    <t xml:space="preserve">ChileDex: Pila del Sprint 4 (Sprint Backlog)</t>
  </si>
  <si>
    <t xml:space="preserve">Sprint 4 de 7 · 5 al 16 de octubre de 2026 · objetivo: construcción del conjunto de datos y captura en la app</t>
  </si>
  <si>
    <t xml:space="preserve">Preparar el entorno de Python e instalar las dependencias</t>
  </si>
  <si>
    <t xml:space="preserve">Pendiente</t>
  </si>
  <si>
    <t xml:space="preserve">Verificar en GBIF las claves de las 14 especies y sus sinónimos</t>
  </si>
  <si>
    <t xml:space="preserve">Ejecutar la descarga y supervisar los errores</t>
  </si>
  <si>
    <t xml:space="preserve">Revisar el manifiesto de licencias y el archivo de créditos</t>
  </si>
  <si>
    <t xml:space="preserve">T-05</t>
  </si>
  <si>
    <t xml:space="preserve">Respaldar el conjunto descargado</t>
  </si>
  <si>
    <t xml:space="preserve">Ejecutar los filtros automáticos de tamaño, nitidez y duplicados</t>
  </si>
  <si>
    <t xml:space="preserve">Generar los vectores y detectar las fotografías sospechosas</t>
  </si>
  <si>
    <t xml:space="preserve">Revisar las hojas de contacto y descartar las que no sirven</t>
  </si>
  <si>
    <t xml:space="preserve">Registrar cuántas fotografías quedaron por especie</t>
  </si>
  <si>
    <t xml:space="preserve">Ejecutar la división 70/15/15 con semilla fija</t>
  </si>
  <si>
    <t xml:space="preserve">Verificar que ninguna especie quede bajo el mínimo</t>
  </si>
  <si>
    <t xml:space="preserve">Ejecutar la extracción de datos desde GBIF</t>
  </si>
  <si>
    <t xml:space="preserve">Completar a mano los datos que GBIF no entrega</t>
  </si>
  <si>
    <t xml:space="preserve">Verificar el estado de conservación en el RCE del Ministerio del Medio Ambiente</t>
  </si>
  <si>
    <t xml:space="preserve">Integrar el paquete de cámara en Flutter</t>
  </si>
  <si>
    <t xml:space="preserve">Resolver los permisos de cámara en Android e iOS</t>
  </si>
  <si>
    <t xml:space="preserve">Implementar la vista previa y el reencuadre</t>
  </si>
  <si>
    <t xml:space="preserve">Comprimir la imagen antes de enviarla</t>
  </si>
  <si>
    <t xml:space="preserve">Pedir y manejar el permiso de ubicación</t>
  </si>
  <si>
    <t xml:space="preserve">Implementar el endpoint que guarda el avistamiento</t>
  </si>
  <si>
    <t xml:space="preserve">Subir la fotografía al almacenamiento de Supabase</t>
  </si>
  <si>
    <t xml:space="preserve">Construir la pantalla de confirmación del avistamiento</t>
  </si>
  <si>
    <t xml:space="preserve">Probar el flujo completo en terreno</t>
  </si>
  <si>
    <t xml:space="preserve">Total de horas estimadas del Sprint 4</t>
  </si>
  <si>
    <t xml:space="preserve">Puntos de historia comprometidos</t>
  </si>
  <si>
    <t xml:space="preserve">Nota: las horas son estimaciones del equipo para planificar la carga de trabajo; los puntos de historia miden complejidad relativa y provienen del Product Backlog. Estados posibles de una tarea: Pendiente, En Proceso, Hecha. Las tareas marcadas «Los tres» se trabajan en conjunto y las horas son por persona.</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</si>
</sst>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28"/>
      <color theme="1"/>
      <name val="Calibri"/>
      <family val="2"/>
      <charset val="1"/>
    </font>
    <font>
      <b val="true"/>
      <sz val="16"/>
      <color theme="3"/>
      <name val="Calibri"/>
      <family val="2"/>
      <charset val="1"/>
    </font>
    <font>
      <sz val="11"/>
      <color theme="0"/>
      <name val="Calibri"/>
      <family val="2"/>
      <charset val="1"/>
    </font>
  </fonts>
  <fills count="4">
    <fill>
      <patternFill patternType="none"/>
    </fill>
    <fill>
      <patternFill patternType="gray125"/>
    </fill>
    <fill>
      <patternFill patternType="solid">
        <fgColor theme="0"/>
        <bgColor rgb="FFFFFFCC"/>
      </patternFill>
    </fill>
    <fill>
      <patternFill patternType="solid">
        <fgColor theme="3"/>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46"/>
  <sheetViews>
    <sheetView showFormulas="false" showGridLines="true" showRowColHeaders="true" showZeros="true" rightToLeft="false" tabSelected="true" showOutlineSymbols="true" defaultGridColor="true" view="normal" topLeftCell="A14" colorId="64" zoomScale="100" zoomScaleNormal="100" zoomScalePageLayoutView="100" workbookViewId="0">
      <selection pane="topLeft" activeCell="I8" activeCellId="0" sqref="I8"/>
    </sheetView>
  </sheetViews>
  <sheetFormatPr defaultColWidth="11.5078125" defaultRowHeight="15" zeroHeight="false" outlineLevelRow="0" outlineLevelCol="0"/>
  <cols>
    <col collapsed="false" customWidth="true" hidden="false" outlineLevel="0" max="1" min="1" style="1" width="1.51"/>
    <col collapsed="false" customWidth="true" hidden="false" outlineLevel="0" max="2" min="2" style="1" width="16.5"/>
    <col collapsed="false" customWidth="true" hidden="false" outlineLevel="0" max="3" min="3" style="1" width="88.67"/>
    <col collapsed="false" customWidth="true" hidden="false" outlineLevel="0" max="4" min="4" style="1" width="27.5"/>
    <col collapsed="false" customWidth="true" hidden="false" outlineLevel="0" max="5" min="5" style="1" width="9.16"/>
    <col collapsed="false" customWidth="true" hidden="false" outlineLevel="0" max="6" min="6" style="1" width="11.83"/>
    <col collapsed="false" customWidth="true" hidden="false" outlineLevel="0" max="7" min="7" style="1" width="16.16"/>
    <col collapsed="false" customWidth="true" hidden="false" outlineLevel="0" max="8" min="8" style="1" width="17.83"/>
    <col collapsed="false" customWidth="true" hidden="false" outlineLevel="0" max="9" min="9" style="1" width="12.33"/>
    <col collapsed="false" customWidth="true" hidden="false" outlineLevel="0" max="10" min="10" style="1" width="2.16"/>
    <col collapsed="false" customWidth="false" hidden="false" outlineLevel="0" max="16384" min="11" style="1" width="11.5"/>
  </cols>
  <sheetData>
    <row r="1" customFormat="false" ht="36" hidden="false" customHeight="true" outlineLevel="0" collapsed="false">
      <c r="B1" s="2" t="s">
        <v>0</v>
      </c>
    </row>
    <row r="2" customFormat="false" ht="21" hidden="false" customHeight="true" outlineLevel="0" collapsed="false">
      <c r="B2" s="3" t="s">
        <v>1</v>
      </c>
    </row>
    <row r="4" customFormat="false" ht="30" hidden="false" customHeight="true" outlineLevel="0" collapsed="false">
      <c r="B4" s="4" t="s">
        <v>2</v>
      </c>
      <c r="C4" s="4" t="s">
        <v>3</v>
      </c>
      <c r="D4" s="4" t="s">
        <v>4</v>
      </c>
      <c r="E4" s="4" t="s">
        <v>5</v>
      </c>
      <c r="F4" s="4" t="s">
        <v>6</v>
      </c>
      <c r="G4" s="4" t="s">
        <v>7</v>
      </c>
      <c r="H4" s="4" t="s">
        <v>8</v>
      </c>
      <c r="I4" s="4" t="s">
        <v>9</v>
      </c>
    </row>
    <row r="5" customFormat="false" ht="30" hidden="false" customHeight="true" outlineLevel="0" collapsed="false">
      <c r="B5" s="5" t="s">
        <v>10</v>
      </c>
      <c r="C5" s="5" t="s">
        <v>11</v>
      </c>
      <c r="D5" s="5" t="s">
        <v>12</v>
      </c>
      <c r="E5" s="5" t="s">
        <v>13</v>
      </c>
      <c r="F5" s="5" t="n">
        <v>5</v>
      </c>
      <c r="G5" s="5" t="s">
        <v>14</v>
      </c>
      <c r="H5" s="5" t="n">
        <v>1</v>
      </c>
      <c r="I5" s="5" t="s">
        <v>15</v>
      </c>
    </row>
    <row r="6" customFormat="false" ht="30" hidden="false" customHeight="true" outlineLevel="0" collapsed="false">
      <c r="B6" s="5" t="s">
        <v>16</v>
      </c>
      <c r="C6" s="5" t="s">
        <v>17</v>
      </c>
      <c r="D6" s="5" t="s">
        <v>18</v>
      </c>
      <c r="E6" s="5" t="s">
        <v>13</v>
      </c>
      <c r="F6" s="5" t="n">
        <v>5</v>
      </c>
      <c r="G6" s="5" t="s">
        <v>14</v>
      </c>
      <c r="H6" s="5" t="n">
        <v>2</v>
      </c>
      <c r="I6" s="5" t="s">
        <v>15</v>
      </c>
    </row>
    <row r="7" customFormat="false" ht="30" hidden="false" customHeight="true" outlineLevel="0" collapsed="false">
      <c r="B7" s="5" t="s">
        <v>19</v>
      </c>
      <c r="C7" s="5" t="s">
        <v>20</v>
      </c>
      <c r="D7" s="5" t="s">
        <v>21</v>
      </c>
      <c r="E7" s="5" t="s">
        <v>13</v>
      </c>
      <c r="F7" s="5" t="n">
        <v>3</v>
      </c>
      <c r="G7" s="5" t="s">
        <v>14</v>
      </c>
      <c r="H7" s="5" t="n">
        <v>3</v>
      </c>
      <c r="I7" s="5" t="s">
        <v>15</v>
      </c>
    </row>
    <row r="8" customFormat="false" ht="30" hidden="false" customHeight="true" outlineLevel="0" collapsed="false">
      <c r="B8" s="5" t="s">
        <v>22</v>
      </c>
      <c r="C8" s="5" t="s">
        <v>23</v>
      </c>
      <c r="D8" s="5" t="s">
        <v>24</v>
      </c>
      <c r="E8" s="5" t="s">
        <v>13</v>
      </c>
      <c r="F8" s="5" t="n">
        <v>3</v>
      </c>
      <c r="G8" s="5" t="s">
        <v>25</v>
      </c>
      <c r="H8" s="5" t="n">
        <v>4</v>
      </c>
      <c r="I8" s="5" t="s">
        <v>15</v>
      </c>
    </row>
    <row r="9" customFormat="false" ht="30" hidden="false" customHeight="true" outlineLevel="0" collapsed="false">
      <c r="B9" s="5" t="s">
        <v>26</v>
      </c>
      <c r="C9" s="5" t="s">
        <v>27</v>
      </c>
      <c r="D9" s="5" t="s">
        <v>28</v>
      </c>
      <c r="E9" s="5" t="s">
        <v>13</v>
      </c>
      <c r="F9" s="5" t="n">
        <v>2</v>
      </c>
      <c r="G9" s="5" t="s">
        <v>25</v>
      </c>
      <c r="H9" s="5" t="n">
        <v>5</v>
      </c>
      <c r="I9" s="5" t="s">
        <v>15</v>
      </c>
    </row>
    <row r="10" customFormat="false" ht="30" hidden="false" customHeight="true" outlineLevel="0" collapsed="false">
      <c r="B10" s="5" t="s">
        <v>29</v>
      </c>
      <c r="C10" s="5" t="s">
        <v>30</v>
      </c>
      <c r="D10" s="5" t="s">
        <v>31</v>
      </c>
      <c r="E10" s="5" t="s">
        <v>13</v>
      </c>
      <c r="F10" s="5" t="n">
        <v>2</v>
      </c>
      <c r="G10" s="5" t="s">
        <v>25</v>
      </c>
      <c r="H10" s="5" t="n">
        <v>6</v>
      </c>
      <c r="I10" s="5" t="s">
        <v>15</v>
      </c>
    </row>
    <row r="11" customFormat="false" ht="30" hidden="false" customHeight="true" outlineLevel="0" collapsed="false">
      <c r="B11" s="5" t="s">
        <v>32</v>
      </c>
      <c r="C11" s="5" t="s">
        <v>33</v>
      </c>
      <c r="D11" s="5" t="s">
        <v>34</v>
      </c>
      <c r="E11" s="5" t="s">
        <v>13</v>
      </c>
      <c r="F11" s="5" t="n">
        <v>2</v>
      </c>
      <c r="G11" s="5" t="s">
        <v>25</v>
      </c>
      <c r="H11" s="5" t="n">
        <v>7</v>
      </c>
      <c r="I11" s="5" t="s">
        <v>15</v>
      </c>
    </row>
    <row r="12" customFormat="false" ht="30" hidden="false" customHeight="true" outlineLevel="0" collapsed="false">
      <c r="B12" s="5" t="s">
        <v>35</v>
      </c>
      <c r="C12" s="5" t="s">
        <v>36</v>
      </c>
      <c r="D12" s="5" t="s">
        <v>37</v>
      </c>
      <c r="E12" s="5" t="s">
        <v>13</v>
      </c>
      <c r="F12" s="5" t="n">
        <v>3</v>
      </c>
      <c r="G12" s="5" t="s">
        <v>25</v>
      </c>
      <c r="H12" s="5" t="n">
        <v>8</v>
      </c>
      <c r="I12" s="5" t="s">
        <v>15</v>
      </c>
    </row>
    <row r="13" customFormat="false" ht="30" hidden="false" customHeight="true" outlineLevel="0" collapsed="false">
      <c r="B13" s="5" t="s">
        <v>38</v>
      </c>
      <c r="C13" s="5" t="s">
        <v>39</v>
      </c>
      <c r="D13" s="5" t="s">
        <v>40</v>
      </c>
      <c r="E13" s="5" t="s">
        <v>13</v>
      </c>
      <c r="F13" s="5" t="n">
        <v>5</v>
      </c>
      <c r="G13" s="5" t="s">
        <v>25</v>
      </c>
      <c r="H13" s="5" t="n">
        <v>9</v>
      </c>
      <c r="I13" s="5" t="s">
        <v>41</v>
      </c>
    </row>
    <row r="14" customFormat="false" ht="30" hidden="false" customHeight="true" outlineLevel="0" collapsed="false">
      <c r="B14" s="5" t="s">
        <v>42</v>
      </c>
      <c r="C14" s="5" t="s">
        <v>43</v>
      </c>
      <c r="D14" s="5" t="s">
        <v>44</v>
      </c>
      <c r="E14" s="5" t="s">
        <v>13</v>
      </c>
      <c r="F14" s="5" t="n">
        <v>3</v>
      </c>
      <c r="G14" s="5" t="s">
        <v>25</v>
      </c>
      <c r="H14" s="5" t="n">
        <v>10</v>
      </c>
      <c r="I14" s="5" t="s">
        <v>15</v>
      </c>
    </row>
    <row r="15" customFormat="false" ht="30" hidden="false" customHeight="true" outlineLevel="0" collapsed="false">
      <c r="B15" s="5" t="s">
        <v>45</v>
      </c>
      <c r="C15" s="5" t="s">
        <v>46</v>
      </c>
      <c r="D15" s="5" t="s">
        <v>47</v>
      </c>
      <c r="E15" s="5" t="s">
        <v>13</v>
      </c>
      <c r="F15" s="5" t="n">
        <v>2</v>
      </c>
      <c r="G15" s="5" t="s">
        <v>25</v>
      </c>
      <c r="H15" s="5" t="n">
        <v>11</v>
      </c>
      <c r="I15" s="5" t="s">
        <v>15</v>
      </c>
    </row>
    <row r="16" customFormat="false" ht="30" hidden="false" customHeight="true" outlineLevel="0" collapsed="false">
      <c r="B16" s="5" t="s">
        <v>48</v>
      </c>
      <c r="C16" s="5" t="s">
        <v>49</v>
      </c>
      <c r="D16" s="5" t="s">
        <v>50</v>
      </c>
      <c r="E16" s="5" t="s">
        <v>13</v>
      </c>
      <c r="F16" s="5" t="n">
        <v>5</v>
      </c>
      <c r="G16" s="5" t="s">
        <v>51</v>
      </c>
      <c r="H16" s="5" t="n">
        <v>12</v>
      </c>
      <c r="I16" s="5" t="s">
        <v>15</v>
      </c>
    </row>
    <row r="17" customFormat="false" ht="30" hidden="false" customHeight="true" outlineLevel="0" collapsed="false">
      <c r="B17" s="5" t="s">
        <v>52</v>
      </c>
      <c r="C17" s="5" t="s">
        <v>53</v>
      </c>
      <c r="D17" s="5" t="s">
        <v>54</v>
      </c>
      <c r="E17" s="5" t="s">
        <v>13</v>
      </c>
      <c r="F17" s="5" t="n">
        <v>3</v>
      </c>
      <c r="G17" s="5" t="s">
        <v>51</v>
      </c>
      <c r="H17" s="5" t="n">
        <v>13</v>
      </c>
      <c r="I17" s="5" t="s">
        <v>15</v>
      </c>
    </row>
    <row r="18" customFormat="false" ht="30" hidden="false" customHeight="true" outlineLevel="0" collapsed="false">
      <c r="B18" s="5" t="s">
        <v>55</v>
      </c>
      <c r="C18" s="5" t="s">
        <v>56</v>
      </c>
      <c r="D18" s="5" t="s">
        <v>57</v>
      </c>
      <c r="E18" s="5" t="s">
        <v>13</v>
      </c>
      <c r="F18" s="5" t="n">
        <v>3</v>
      </c>
      <c r="G18" s="5" t="s">
        <v>51</v>
      </c>
      <c r="H18" s="5" t="n">
        <v>14</v>
      </c>
      <c r="I18" s="5" t="s">
        <v>15</v>
      </c>
    </row>
    <row r="19" customFormat="false" ht="30" hidden="false" customHeight="true" outlineLevel="0" collapsed="false">
      <c r="B19" s="5" t="s">
        <v>58</v>
      </c>
      <c r="C19" s="5" t="s">
        <v>59</v>
      </c>
      <c r="D19" s="5" t="s">
        <v>60</v>
      </c>
      <c r="E19" s="5" t="s">
        <v>13</v>
      </c>
      <c r="F19" s="5" t="n">
        <v>8</v>
      </c>
      <c r="G19" s="5" t="s">
        <v>51</v>
      </c>
      <c r="H19" s="5" t="n">
        <v>15</v>
      </c>
      <c r="I19" s="5" t="s">
        <v>15</v>
      </c>
    </row>
    <row r="20" customFormat="false" ht="30" hidden="false" customHeight="true" outlineLevel="0" collapsed="false">
      <c r="B20" s="5" t="s">
        <v>61</v>
      </c>
      <c r="C20" s="5" t="s">
        <v>62</v>
      </c>
      <c r="D20" s="5" t="s">
        <v>63</v>
      </c>
      <c r="E20" s="5" t="s">
        <v>13</v>
      </c>
      <c r="F20" s="5" t="n">
        <v>3</v>
      </c>
      <c r="G20" s="5" t="s">
        <v>51</v>
      </c>
      <c r="H20" s="5" t="n">
        <v>16</v>
      </c>
      <c r="I20" s="5" t="s">
        <v>15</v>
      </c>
    </row>
    <row r="21" customFormat="false" ht="30" hidden="false" customHeight="true" outlineLevel="0" collapsed="false">
      <c r="B21" s="5" t="s">
        <v>64</v>
      </c>
      <c r="C21" s="5" t="s">
        <v>65</v>
      </c>
      <c r="D21" s="5" t="s">
        <v>66</v>
      </c>
      <c r="E21" s="5" t="s">
        <v>13</v>
      </c>
      <c r="F21" s="5" t="n">
        <v>3</v>
      </c>
      <c r="G21" s="5" t="s">
        <v>51</v>
      </c>
      <c r="H21" s="5" t="n">
        <v>17</v>
      </c>
      <c r="I21" s="5" t="s">
        <v>15</v>
      </c>
    </row>
    <row r="22" customFormat="false" ht="30" hidden="false" customHeight="true" outlineLevel="0" collapsed="false">
      <c r="B22" s="5" t="s">
        <v>67</v>
      </c>
      <c r="C22" s="5" t="s">
        <v>68</v>
      </c>
      <c r="D22" s="5" t="s">
        <v>69</v>
      </c>
      <c r="E22" s="5" t="s">
        <v>13</v>
      </c>
      <c r="F22" s="5" t="n">
        <v>3</v>
      </c>
      <c r="G22" s="5" t="s">
        <v>51</v>
      </c>
      <c r="H22" s="5" t="n">
        <v>18</v>
      </c>
      <c r="I22" s="5" t="s">
        <v>15</v>
      </c>
    </row>
    <row r="23" customFormat="false" ht="30" hidden="false" customHeight="true" outlineLevel="0" collapsed="false">
      <c r="B23" s="5" t="s">
        <v>70</v>
      </c>
      <c r="C23" s="5" t="s">
        <v>71</v>
      </c>
      <c r="D23" s="5" t="s">
        <v>72</v>
      </c>
      <c r="E23" s="5" t="s">
        <v>73</v>
      </c>
      <c r="F23" s="5" t="n">
        <v>8</v>
      </c>
      <c r="G23" s="5" t="s">
        <v>74</v>
      </c>
      <c r="H23" s="5" t="n">
        <v>19</v>
      </c>
      <c r="I23" s="5" t="s">
        <v>75</v>
      </c>
    </row>
    <row r="24" customFormat="false" ht="30" hidden="false" customHeight="true" outlineLevel="0" collapsed="false">
      <c r="B24" s="5" t="s">
        <v>76</v>
      </c>
      <c r="C24" s="5" t="s">
        <v>77</v>
      </c>
      <c r="D24" s="5" t="s">
        <v>78</v>
      </c>
      <c r="E24" s="5" t="s">
        <v>73</v>
      </c>
      <c r="F24" s="5" t="n">
        <v>5</v>
      </c>
      <c r="G24" s="5" t="s">
        <v>74</v>
      </c>
      <c r="H24" s="5" t="n">
        <v>20</v>
      </c>
      <c r="I24" s="5" t="s">
        <v>79</v>
      </c>
    </row>
    <row r="25" customFormat="false" ht="30" hidden="false" customHeight="true" outlineLevel="0" collapsed="false">
      <c r="B25" s="5" t="s">
        <v>80</v>
      </c>
      <c r="C25" s="5" t="s">
        <v>81</v>
      </c>
      <c r="D25" s="5" t="s">
        <v>82</v>
      </c>
      <c r="E25" s="5" t="s">
        <v>73</v>
      </c>
      <c r="F25" s="5" t="n">
        <v>3</v>
      </c>
      <c r="G25" s="5" t="s">
        <v>74</v>
      </c>
      <c r="H25" s="5" t="n">
        <v>21</v>
      </c>
      <c r="I25" s="5" t="s">
        <v>83</v>
      </c>
    </row>
    <row r="26" customFormat="false" ht="30" hidden="false" customHeight="true" outlineLevel="0" collapsed="false">
      <c r="B26" s="5" t="s">
        <v>84</v>
      </c>
      <c r="C26" s="5" t="s">
        <v>85</v>
      </c>
      <c r="D26" s="5" t="s">
        <v>86</v>
      </c>
      <c r="E26" s="5" t="s">
        <v>73</v>
      </c>
      <c r="F26" s="5" t="n">
        <v>3</v>
      </c>
      <c r="G26" s="5" t="s">
        <v>74</v>
      </c>
      <c r="H26" s="5" t="n">
        <v>22</v>
      </c>
      <c r="I26" s="5" t="s">
        <v>87</v>
      </c>
    </row>
    <row r="27" customFormat="false" ht="30" hidden="false" customHeight="true" outlineLevel="0" collapsed="false">
      <c r="B27" s="5" t="s">
        <v>88</v>
      </c>
      <c r="C27" s="5" t="s">
        <v>89</v>
      </c>
      <c r="D27" s="5" t="s">
        <v>90</v>
      </c>
      <c r="E27" s="5" t="s">
        <v>73</v>
      </c>
      <c r="F27" s="5" t="n">
        <v>3</v>
      </c>
      <c r="G27" s="5" t="s">
        <v>74</v>
      </c>
      <c r="H27" s="5" t="n">
        <v>23</v>
      </c>
      <c r="I27" s="5" t="s">
        <v>91</v>
      </c>
    </row>
    <row r="28" customFormat="false" ht="30" hidden="false" customHeight="true" outlineLevel="0" collapsed="false">
      <c r="B28" s="5" t="s">
        <v>92</v>
      </c>
      <c r="C28" s="5" t="s">
        <v>93</v>
      </c>
      <c r="D28" s="5" t="s">
        <v>94</v>
      </c>
      <c r="E28" s="5" t="s">
        <v>73</v>
      </c>
      <c r="F28" s="5" t="n">
        <v>5</v>
      </c>
      <c r="G28" s="5" t="s">
        <v>74</v>
      </c>
      <c r="H28" s="5" t="n">
        <v>24</v>
      </c>
      <c r="I28" s="5" t="s">
        <v>95</v>
      </c>
    </row>
    <row r="29" customFormat="false" ht="30" hidden="false" customHeight="true" outlineLevel="0" collapsed="false">
      <c r="B29" s="5" t="s">
        <v>96</v>
      </c>
      <c r="C29" s="5" t="s">
        <v>97</v>
      </c>
      <c r="D29" s="5" t="s">
        <v>98</v>
      </c>
      <c r="E29" s="5" t="s">
        <v>73</v>
      </c>
      <c r="F29" s="5" t="n">
        <v>5</v>
      </c>
      <c r="G29" s="5" t="s">
        <v>99</v>
      </c>
      <c r="H29" s="5" t="n">
        <v>25</v>
      </c>
      <c r="I29" s="5" t="s">
        <v>100</v>
      </c>
    </row>
    <row r="30" customFormat="false" ht="30" hidden="false" customHeight="true" outlineLevel="0" collapsed="false">
      <c r="B30" s="5" t="s">
        <v>101</v>
      </c>
      <c r="C30" s="5" t="s">
        <v>102</v>
      </c>
      <c r="D30" s="5" t="s">
        <v>103</v>
      </c>
      <c r="E30" s="5" t="s">
        <v>73</v>
      </c>
      <c r="F30" s="5" t="n">
        <v>5</v>
      </c>
      <c r="G30" s="5" t="s">
        <v>99</v>
      </c>
      <c r="H30" s="5" t="n">
        <v>26</v>
      </c>
      <c r="I30" s="5" t="s">
        <v>104</v>
      </c>
    </row>
    <row r="31" customFormat="false" ht="30" hidden="false" customHeight="true" outlineLevel="0" collapsed="false">
      <c r="B31" s="5" t="s">
        <v>105</v>
      </c>
      <c r="C31" s="5" t="s">
        <v>106</v>
      </c>
      <c r="D31" s="5" t="s">
        <v>107</v>
      </c>
      <c r="E31" s="5" t="s">
        <v>73</v>
      </c>
      <c r="F31" s="5" t="n">
        <v>8</v>
      </c>
      <c r="G31" s="5" t="s">
        <v>99</v>
      </c>
      <c r="H31" s="5" t="n">
        <v>27</v>
      </c>
      <c r="I31" s="5" t="s">
        <v>108</v>
      </c>
    </row>
    <row r="32" customFormat="false" ht="30" hidden="false" customHeight="true" outlineLevel="0" collapsed="false">
      <c r="B32" s="5" t="s">
        <v>109</v>
      </c>
      <c r="C32" s="5" t="s">
        <v>110</v>
      </c>
      <c r="D32" s="5" t="s">
        <v>111</v>
      </c>
      <c r="E32" s="5" t="s">
        <v>73</v>
      </c>
      <c r="F32" s="5" t="n">
        <v>8</v>
      </c>
      <c r="G32" s="5" t="s">
        <v>99</v>
      </c>
      <c r="H32" s="5" t="n">
        <v>28</v>
      </c>
      <c r="I32" s="5" t="s">
        <v>112</v>
      </c>
    </row>
    <row r="33" customFormat="false" ht="30" hidden="false" customHeight="true" outlineLevel="0" collapsed="false">
      <c r="B33" s="5" t="s">
        <v>113</v>
      </c>
      <c r="C33" s="5" t="s">
        <v>114</v>
      </c>
      <c r="D33" s="5" t="s">
        <v>115</v>
      </c>
      <c r="E33" s="5" t="s">
        <v>73</v>
      </c>
      <c r="F33" s="5" t="n">
        <v>3</v>
      </c>
      <c r="G33" s="5" t="s">
        <v>99</v>
      </c>
      <c r="H33" s="5" t="n">
        <v>29</v>
      </c>
      <c r="I33" s="5" t="s">
        <v>116</v>
      </c>
    </row>
    <row r="34" customFormat="false" ht="30" hidden="false" customHeight="true" outlineLevel="0" collapsed="false">
      <c r="B34" s="5" t="s">
        <v>117</v>
      </c>
      <c r="C34" s="5" t="s">
        <v>118</v>
      </c>
      <c r="D34" s="5" t="s">
        <v>119</v>
      </c>
      <c r="E34" s="5" t="s">
        <v>73</v>
      </c>
      <c r="F34" s="5" t="n">
        <v>3</v>
      </c>
      <c r="G34" s="5" t="s">
        <v>99</v>
      </c>
      <c r="H34" s="5" t="n">
        <v>30</v>
      </c>
      <c r="I34" s="5" t="s">
        <v>120</v>
      </c>
    </row>
    <row r="35" customFormat="false" ht="30" hidden="false" customHeight="true" outlineLevel="0" collapsed="false">
      <c r="B35" s="5" t="s">
        <v>121</v>
      </c>
      <c r="C35" s="5" t="s">
        <v>122</v>
      </c>
      <c r="D35" s="5" t="s">
        <v>123</v>
      </c>
      <c r="E35" s="5" t="s">
        <v>73</v>
      </c>
      <c r="F35" s="5" t="n">
        <v>8</v>
      </c>
      <c r="G35" s="5" t="s">
        <v>124</v>
      </c>
      <c r="H35" s="5" t="n">
        <v>31</v>
      </c>
      <c r="I35" s="5" t="s">
        <v>125</v>
      </c>
    </row>
    <row r="36" customFormat="false" ht="30" hidden="false" customHeight="true" outlineLevel="0" collapsed="false">
      <c r="B36" s="5" t="s">
        <v>126</v>
      </c>
      <c r="C36" s="5" t="s">
        <v>127</v>
      </c>
      <c r="D36" s="5" t="s">
        <v>128</v>
      </c>
      <c r="E36" s="5" t="s">
        <v>73</v>
      </c>
      <c r="F36" s="5" t="n">
        <v>13</v>
      </c>
      <c r="G36" s="5" t="s">
        <v>124</v>
      </c>
      <c r="H36" s="5" t="n">
        <v>32</v>
      </c>
      <c r="I36" s="5" t="s">
        <v>129</v>
      </c>
    </row>
    <row r="37" customFormat="false" ht="30" hidden="false" customHeight="true" outlineLevel="0" collapsed="false">
      <c r="B37" s="5" t="s">
        <v>130</v>
      </c>
      <c r="C37" s="5" t="s">
        <v>131</v>
      </c>
      <c r="D37" s="5" t="s">
        <v>132</v>
      </c>
      <c r="E37" s="5" t="s">
        <v>73</v>
      </c>
      <c r="F37" s="5" t="n">
        <v>5</v>
      </c>
      <c r="G37" s="5" t="s">
        <v>124</v>
      </c>
      <c r="H37" s="5" t="n">
        <v>33</v>
      </c>
      <c r="I37" s="5" t="s">
        <v>133</v>
      </c>
    </row>
    <row r="38" customFormat="false" ht="30" hidden="false" customHeight="true" outlineLevel="0" collapsed="false">
      <c r="B38" s="5" t="s">
        <v>134</v>
      </c>
      <c r="C38" s="5" t="s">
        <v>135</v>
      </c>
      <c r="D38" s="5" t="s">
        <v>136</v>
      </c>
      <c r="E38" s="5" t="s">
        <v>73</v>
      </c>
      <c r="F38" s="5" t="n">
        <v>1</v>
      </c>
      <c r="G38" s="5" t="s">
        <v>124</v>
      </c>
      <c r="H38" s="5" t="n">
        <v>34</v>
      </c>
      <c r="I38" s="5" t="s">
        <v>137</v>
      </c>
    </row>
    <row r="39" customFormat="false" ht="30" hidden="false" customHeight="true" outlineLevel="0" collapsed="false">
      <c r="B39" s="5" t="s">
        <v>138</v>
      </c>
      <c r="C39" s="5" t="s">
        <v>139</v>
      </c>
      <c r="D39" s="5" t="s">
        <v>140</v>
      </c>
      <c r="E39" s="5" t="s">
        <v>73</v>
      </c>
      <c r="F39" s="5" t="n">
        <v>5</v>
      </c>
      <c r="G39" s="5" t="s">
        <v>141</v>
      </c>
      <c r="H39" s="5" t="n">
        <v>35</v>
      </c>
      <c r="I39" s="5" t="s">
        <v>142</v>
      </c>
    </row>
    <row r="40" customFormat="false" ht="30" hidden="false" customHeight="true" outlineLevel="0" collapsed="false">
      <c r="B40" s="5" t="s">
        <v>143</v>
      </c>
      <c r="C40" s="5" t="s">
        <v>144</v>
      </c>
      <c r="D40" s="5" t="s">
        <v>145</v>
      </c>
      <c r="E40" s="5" t="s">
        <v>73</v>
      </c>
      <c r="F40" s="5" t="n">
        <v>3</v>
      </c>
      <c r="G40" s="5" t="s">
        <v>141</v>
      </c>
      <c r="H40" s="5" t="n">
        <v>36</v>
      </c>
      <c r="I40" s="5" t="s">
        <v>146</v>
      </c>
    </row>
    <row r="41" customFormat="false" ht="30" hidden="false" customHeight="true" outlineLevel="0" collapsed="false">
      <c r="B41" s="5" t="s">
        <v>147</v>
      </c>
      <c r="C41" s="5" t="s">
        <v>148</v>
      </c>
      <c r="D41" s="5" t="s">
        <v>149</v>
      </c>
      <c r="E41" s="5" t="s">
        <v>73</v>
      </c>
      <c r="F41" s="5" t="n">
        <v>5</v>
      </c>
      <c r="G41" s="5" t="s">
        <v>141</v>
      </c>
      <c r="H41" s="5" t="n">
        <v>37</v>
      </c>
      <c r="I41" s="5" t="s">
        <v>150</v>
      </c>
    </row>
    <row r="42" customFormat="false" ht="30" hidden="false" customHeight="true" outlineLevel="0" collapsed="false">
      <c r="B42" s="5" t="s">
        <v>151</v>
      </c>
      <c r="C42" s="5" t="s">
        <v>152</v>
      </c>
      <c r="D42" s="5" t="s">
        <v>153</v>
      </c>
      <c r="E42" s="5" t="s">
        <v>73</v>
      </c>
      <c r="F42" s="5" t="n">
        <v>2</v>
      </c>
      <c r="G42" s="5" t="s">
        <v>141</v>
      </c>
      <c r="H42" s="5" t="n">
        <v>38</v>
      </c>
      <c r="I42" s="5"/>
    </row>
    <row r="43" customFormat="false" ht="30" hidden="false" customHeight="true" outlineLevel="0" collapsed="false">
      <c r="B43" s="5" t="s">
        <v>154</v>
      </c>
      <c r="C43" s="5" t="s">
        <v>155</v>
      </c>
      <c r="D43" s="5" t="s">
        <v>156</v>
      </c>
      <c r="E43" s="5" t="s">
        <v>73</v>
      </c>
      <c r="F43" s="5" t="n">
        <v>8</v>
      </c>
      <c r="G43" s="5" t="s">
        <v>141</v>
      </c>
      <c r="H43" s="5" t="n">
        <v>39</v>
      </c>
      <c r="I43" s="5" t="s">
        <v>157</v>
      </c>
    </row>
    <row r="44" customFormat="false" ht="30" hidden="false" customHeight="true" outlineLevel="0" collapsed="false">
      <c r="B44" s="5" t="s">
        <v>158</v>
      </c>
      <c r="C44" s="5" t="s">
        <v>159</v>
      </c>
      <c r="D44" s="5" t="s">
        <v>160</v>
      </c>
      <c r="E44" s="5" t="s">
        <v>73</v>
      </c>
      <c r="F44" s="5" t="n">
        <v>2</v>
      </c>
      <c r="G44" s="5" t="s">
        <v>141</v>
      </c>
      <c r="H44" s="5" t="n">
        <v>40</v>
      </c>
      <c r="I44" s="5"/>
    </row>
    <row r="45" customFormat="false" ht="30" hidden="false" customHeight="true" outlineLevel="0" collapsed="false">
      <c r="B45" s="5" t="s">
        <v>161</v>
      </c>
      <c r="C45" s="5" t="s">
        <v>162</v>
      </c>
      <c r="D45" s="5" t="s">
        <v>163</v>
      </c>
      <c r="E45" s="5" t="s">
        <v>73</v>
      </c>
      <c r="F45" s="5" t="n">
        <v>5</v>
      </c>
      <c r="G45" s="5" t="s">
        <v>141</v>
      </c>
      <c r="H45" s="5" t="n">
        <v>41</v>
      </c>
      <c r="I45" s="5" t="s">
        <v>164</v>
      </c>
    </row>
    <row r="46" customFormat="false" ht="30" hidden="false" customHeight="true" outlineLevel="0" collapsed="false">
      <c r="B46" s="5" t="s">
        <v>165</v>
      </c>
      <c r="C46" s="5" t="s">
        <v>166</v>
      </c>
      <c r="D46" s="5" t="s">
        <v>167</v>
      </c>
      <c r="E46" s="5" t="s">
        <v>168</v>
      </c>
      <c r="F46" s="5" t="n">
        <v>5</v>
      </c>
      <c r="G46" s="5" t="s">
        <v>169</v>
      </c>
      <c r="H46" s="5" t="n">
        <v>42</v>
      </c>
      <c r="I46" s="5" t="s">
        <v>170</v>
      </c>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0" width="1.33"/>
    <col collapsed="false" customWidth="true" hidden="false" outlineLevel="0" max="2" min="2" style="0" width="16.33"/>
    <col collapsed="false" customWidth="true" hidden="false" outlineLevel="0" max="3" min="3" style="0" width="27.67"/>
    <col collapsed="false" customWidth="true" hidden="false" outlineLevel="0" max="4" min="4" style="0" width="5.51"/>
    <col collapsed="false" customWidth="true" hidden="false" outlineLevel="0" max="5" min="5" style="0" width="95"/>
  </cols>
  <sheetData>
    <row r="1" customFormat="false" ht="36" hidden="false" customHeight="true" outlineLevel="0" collapsed="false">
      <c r="B1" s="2" t="s">
        <v>171</v>
      </c>
    </row>
    <row r="2" customFormat="false" ht="21" hidden="false" customHeight="true" outlineLevel="0" collapsed="false">
      <c r="B2" s="3" t="s">
        <v>172</v>
      </c>
    </row>
    <row r="4" customFormat="false" ht="30" hidden="false" customHeight="true" outlineLevel="0" collapsed="false">
      <c r="B4" s="4" t="s">
        <v>173</v>
      </c>
      <c r="C4" s="4" t="s">
        <v>4</v>
      </c>
      <c r="D4" s="4" t="s">
        <v>174</v>
      </c>
      <c r="E4" s="4" t="s">
        <v>175</v>
      </c>
    </row>
    <row r="5" customFormat="false" ht="27.75" hidden="false" customHeight="true" outlineLevel="0" collapsed="false">
      <c r="B5" s="5" t="s">
        <v>10</v>
      </c>
      <c r="C5" s="5" t="s">
        <v>12</v>
      </c>
      <c r="D5" s="5" t="n">
        <v>1</v>
      </c>
      <c r="E5" s="5" t="s">
        <v>176</v>
      </c>
    </row>
    <row r="6" customFormat="false" ht="27.75" hidden="false" customHeight="true" outlineLevel="0" collapsed="false">
      <c r="B6" s="5"/>
      <c r="C6" s="5"/>
      <c r="D6" s="5" t="n">
        <v>2</v>
      </c>
      <c r="E6" s="5" t="s">
        <v>177</v>
      </c>
    </row>
    <row r="7" customFormat="false" ht="27.75" hidden="false" customHeight="true" outlineLevel="0" collapsed="false">
      <c r="B7" s="5"/>
      <c r="C7" s="5"/>
      <c r="D7" s="5" t="n">
        <v>3</v>
      </c>
      <c r="E7" s="5" t="s">
        <v>178</v>
      </c>
    </row>
    <row r="8" customFormat="false" ht="27.75" hidden="false" customHeight="true" outlineLevel="0" collapsed="false">
      <c r="B8" s="5" t="s">
        <v>16</v>
      </c>
      <c r="C8" s="5" t="s">
        <v>18</v>
      </c>
      <c r="D8" s="5" t="n">
        <v>1</v>
      </c>
      <c r="E8" s="5" t="s">
        <v>179</v>
      </c>
    </row>
    <row r="9" customFormat="false" ht="27.75" hidden="false" customHeight="true" outlineLevel="0" collapsed="false">
      <c r="B9" s="5"/>
      <c r="C9" s="5"/>
      <c r="D9" s="5" t="n">
        <v>2</v>
      </c>
      <c r="E9" s="5" t="s">
        <v>180</v>
      </c>
    </row>
    <row r="10" customFormat="false" ht="27.75" hidden="false" customHeight="true" outlineLevel="0" collapsed="false">
      <c r="B10" s="5"/>
      <c r="C10" s="5"/>
      <c r="D10" s="5" t="n">
        <v>3</v>
      </c>
      <c r="E10" s="5" t="s">
        <v>181</v>
      </c>
    </row>
    <row r="11" customFormat="false" ht="27.75" hidden="false" customHeight="true" outlineLevel="0" collapsed="false">
      <c r="B11" s="5" t="s">
        <v>19</v>
      </c>
      <c r="C11" s="5" t="s">
        <v>21</v>
      </c>
      <c r="D11" s="5" t="n">
        <v>1</v>
      </c>
      <c r="E11" s="5" t="s">
        <v>182</v>
      </c>
    </row>
    <row r="12" customFormat="false" ht="27.75" hidden="false" customHeight="true" outlineLevel="0" collapsed="false">
      <c r="B12" s="5"/>
      <c r="C12" s="5"/>
      <c r="D12" s="5" t="n">
        <v>2</v>
      </c>
      <c r="E12" s="5" t="s">
        <v>183</v>
      </c>
    </row>
    <row r="13" customFormat="false" ht="27.75" hidden="false" customHeight="true" outlineLevel="0" collapsed="false">
      <c r="B13" s="5"/>
      <c r="C13" s="5"/>
      <c r="D13" s="5" t="n">
        <v>3</v>
      </c>
      <c r="E13" s="5" t="s">
        <v>184</v>
      </c>
    </row>
    <row r="14" customFormat="false" ht="27.75" hidden="false" customHeight="true" outlineLevel="0" collapsed="false">
      <c r="B14" s="5" t="s">
        <v>22</v>
      </c>
      <c r="C14" s="5" t="s">
        <v>24</v>
      </c>
      <c r="D14" s="5" t="n">
        <v>1</v>
      </c>
      <c r="E14" s="5" t="s">
        <v>185</v>
      </c>
    </row>
    <row r="15" customFormat="false" ht="27.75" hidden="false" customHeight="true" outlineLevel="0" collapsed="false">
      <c r="B15" s="5"/>
      <c r="C15" s="5"/>
      <c r="D15" s="5" t="n">
        <v>2</v>
      </c>
      <c r="E15" s="5" t="s">
        <v>186</v>
      </c>
    </row>
    <row r="16" customFormat="false" ht="27.75" hidden="false" customHeight="true" outlineLevel="0" collapsed="false">
      <c r="B16" s="5"/>
      <c r="C16" s="5"/>
      <c r="D16" s="5" t="n">
        <v>3</v>
      </c>
      <c r="E16" s="5" t="s">
        <v>187</v>
      </c>
    </row>
    <row r="17" customFormat="false" ht="27.75" hidden="false" customHeight="true" outlineLevel="0" collapsed="false">
      <c r="B17" s="5" t="s">
        <v>26</v>
      </c>
      <c r="C17" s="5" t="s">
        <v>28</v>
      </c>
      <c r="D17" s="5" t="n">
        <v>1</v>
      </c>
      <c r="E17" s="5" t="s">
        <v>188</v>
      </c>
    </row>
    <row r="18" customFormat="false" ht="27.75" hidden="false" customHeight="true" outlineLevel="0" collapsed="false">
      <c r="B18" s="5"/>
      <c r="C18" s="5"/>
      <c r="D18" s="5" t="n">
        <v>2</v>
      </c>
      <c r="E18" s="5" t="s">
        <v>189</v>
      </c>
    </row>
    <row r="19" customFormat="false" ht="27.75" hidden="false" customHeight="true" outlineLevel="0" collapsed="false">
      <c r="B19" s="5"/>
      <c r="C19" s="5"/>
      <c r="D19" s="5" t="n">
        <v>3</v>
      </c>
      <c r="E19" s="5" t="s">
        <v>190</v>
      </c>
    </row>
    <row r="20" customFormat="false" ht="27.75" hidden="false" customHeight="true" outlineLevel="0" collapsed="false">
      <c r="B20" s="5" t="s">
        <v>29</v>
      </c>
      <c r="C20" s="5" t="s">
        <v>31</v>
      </c>
      <c r="D20" s="5" t="n">
        <v>1</v>
      </c>
      <c r="E20" s="5" t="s">
        <v>191</v>
      </c>
    </row>
    <row r="21" customFormat="false" ht="27.75" hidden="false" customHeight="true" outlineLevel="0" collapsed="false">
      <c r="B21" s="5"/>
      <c r="C21" s="5"/>
      <c r="D21" s="5" t="n">
        <v>2</v>
      </c>
      <c r="E21" s="5" t="s">
        <v>192</v>
      </c>
    </row>
    <row r="22" customFormat="false" ht="27.75" hidden="false" customHeight="true" outlineLevel="0" collapsed="false">
      <c r="B22" s="5"/>
      <c r="C22" s="5"/>
      <c r="D22" s="5" t="n">
        <v>3</v>
      </c>
      <c r="E22" s="5" t="s">
        <v>193</v>
      </c>
    </row>
    <row r="23" customFormat="false" ht="27.75" hidden="false" customHeight="true" outlineLevel="0" collapsed="false">
      <c r="B23" s="5" t="s">
        <v>32</v>
      </c>
      <c r="C23" s="5" t="s">
        <v>34</v>
      </c>
      <c r="D23" s="5" t="n">
        <v>1</v>
      </c>
      <c r="E23" s="5" t="s">
        <v>194</v>
      </c>
    </row>
    <row r="24" customFormat="false" ht="27.75" hidden="false" customHeight="true" outlineLevel="0" collapsed="false">
      <c r="B24" s="5"/>
      <c r="C24" s="5"/>
      <c r="D24" s="5" t="n">
        <v>2</v>
      </c>
      <c r="E24" s="5" t="s">
        <v>195</v>
      </c>
    </row>
    <row r="25" customFormat="false" ht="27.75" hidden="false" customHeight="true" outlineLevel="0" collapsed="false">
      <c r="B25" s="5"/>
      <c r="C25" s="5"/>
      <c r="D25" s="5" t="n">
        <v>3</v>
      </c>
      <c r="E25" s="5" t="s">
        <v>196</v>
      </c>
    </row>
    <row r="26" customFormat="false" ht="27.75" hidden="false" customHeight="true" outlineLevel="0" collapsed="false">
      <c r="B26" s="5" t="s">
        <v>35</v>
      </c>
      <c r="C26" s="5" t="s">
        <v>37</v>
      </c>
      <c r="D26" s="5" t="n">
        <v>1</v>
      </c>
      <c r="E26" s="5" t="s">
        <v>197</v>
      </c>
    </row>
    <row r="27" customFormat="false" ht="27.75" hidden="false" customHeight="true" outlineLevel="0" collapsed="false">
      <c r="B27" s="5"/>
      <c r="C27" s="5"/>
      <c r="D27" s="5" t="n">
        <v>2</v>
      </c>
      <c r="E27" s="5" t="s">
        <v>198</v>
      </c>
    </row>
    <row r="28" customFormat="false" ht="27.75" hidden="false" customHeight="true" outlineLevel="0" collapsed="false">
      <c r="B28" s="5"/>
      <c r="C28" s="5"/>
      <c r="D28" s="5" t="n">
        <v>3</v>
      </c>
      <c r="E28" s="5" t="s">
        <v>199</v>
      </c>
    </row>
    <row r="29" customFormat="false" ht="27.75" hidden="false" customHeight="true" outlineLevel="0" collapsed="false">
      <c r="B29" s="5" t="s">
        <v>38</v>
      </c>
      <c r="C29" s="5" t="s">
        <v>40</v>
      </c>
      <c r="D29" s="5" t="n">
        <v>1</v>
      </c>
      <c r="E29" s="5" t="s">
        <v>200</v>
      </c>
    </row>
    <row r="30" customFormat="false" ht="27.75" hidden="false" customHeight="true" outlineLevel="0" collapsed="false">
      <c r="B30" s="5"/>
      <c r="C30" s="5"/>
      <c r="D30" s="5" t="n">
        <v>2</v>
      </c>
      <c r="E30" s="5" t="s">
        <v>201</v>
      </c>
    </row>
    <row r="31" customFormat="false" ht="27.75" hidden="false" customHeight="true" outlineLevel="0" collapsed="false">
      <c r="B31" s="5"/>
      <c r="C31" s="5"/>
      <c r="D31" s="5" t="n">
        <v>3</v>
      </c>
      <c r="E31" s="5" t="s">
        <v>202</v>
      </c>
    </row>
    <row r="32" customFormat="false" ht="27.75" hidden="false" customHeight="true" outlineLevel="0" collapsed="false">
      <c r="B32" s="5" t="s">
        <v>42</v>
      </c>
      <c r="C32" s="5" t="s">
        <v>44</v>
      </c>
      <c r="D32" s="5" t="n">
        <v>1</v>
      </c>
      <c r="E32" s="5" t="s">
        <v>203</v>
      </c>
    </row>
    <row r="33" customFormat="false" ht="27.75" hidden="false" customHeight="true" outlineLevel="0" collapsed="false">
      <c r="B33" s="5"/>
      <c r="C33" s="5"/>
      <c r="D33" s="5" t="n">
        <v>2</v>
      </c>
      <c r="E33" s="5" t="s">
        <v>204</v>
      </c>
    </row>
    <row r="34" customFormat="false" ht="27.75" hidden="false" customHeight="true" outlineLevel="0" collapsed="false">
      <c r="B34" s="5"/>
      <c r="C34" s="5"/>
      <c r="D34" s="5" t="n">
        <v>3</v>
      </c>
      <c r="E34" s="5" t="s">
        <v>205</v>
      </c>
    </row>
    <row r="35" customFormat="false" ht="27.75" hidden="false" customHeight="true" outlineLevel="0" collapsed="false">
      <c r="B35" s="5" t="s">
        <v>45</v>
      </c>
      <c r="C35" s="5" t="s">
        <v>47</v>
      </c>
      <c r="D35" s="5" t="n">
        <v>1</v>
      </c>
      <c r="E35" s="5" t="s">
        <v>206</v>
      </c>
    </row>
    <row r="36" customFormat="false" ht="27.75" hidden="false" customHeight="true" outlineLevel="0" collapsed="false">
      <c r="B36" s="5"/>
      <c r="C36" s="5"/>
      <c r="D36" s="5" t="n">
        <v>2</v>
      </c>
      <c r="E36" s="5" t="s">
        <v>207</v>
      </c>
    </row>
    <row r="37" customFormat="false" ht="27.75" hidden="false" customHeight="true" outlineLevel="0" collapsed="false">
      <c r="B37" s="5"/>
      <c r="C37" s="5"/>
      <c r="D37" s="5" t="n">
        <v>3</v>
      </c>
      <c r="E37" s="5" t="s">
        <v>208</v>
      </c>
    </row>
    <row r="38" customFormat="false" ht="27.75" hidden="false" customHeight="true" outlineLevel="0" collapsed="false">
      <c r="B38" s="5" t="s">
        <v>48</v>
      </c>
      <c r="C38" s="5" t="s">
        <v>50</v>
      </c>
      <c r="D38" s="5" t="n">
        <v>1</v>
      </c>
      <c r="E38" s="5" t="s">
        <v>209</v>
      </c>
    </row>
    <row r="39" customFormat="false" ht="27.75" hidden="false" customHeight="true" outlineLevel="0" collapsed="false">
      <c r="B39" s="5"/>
      <c r="C39" s="5"/>
      <c r="D39" s="5" t="n">
        <v>2</v>
      </c>
      <c r="E39" s="5" t="s">
        <v>210</v>
      </c>
    </row>
    <row r="40" customFormat="false" ht="27.75" hidden="false" customHeight="true" outlineLevel="0" collapsed="false">
      <c r="B40" s="5"/>
      <c r="C40" s="5"/>
      <c r="D40" s="5" t="n">
        <v>3</v>
      </c>
      <c r="E40" s="5" t="s">
        <v>211</v>
      </c>
    </row>
    <row r="41" customFormat="false" ht="27.75" hidden="false" customHeight="true" outlineLevel="0" collapsed="false">
      <c r="B41" s="5" t="s">
        <v>52</v>
      </c>
      <c r="C41" s="5" t="s">
        <v>54</v>
      </c>
      <c r="D41" s="5" t="n">
        <v>1</v>
      </c>
      <c r="E41" s="5" t="s">
        <v>212</v>
      </c>
    </row>
    <row r="42" customFormat="false" ht="27.75" hidden="false" customHeight="true" outlineLevel="0" collapsed="false">
      <c r="B42" s="5"/>
      <c r="C42" s="5"/>
      <c r="D42" s="5" t="n">
        <v>2</v>
      </c>
      <c r="E42" s="5" t="s">
        <v>213</v>
      </c>
    </row>
    <row r="43" customFormat="false" ht="27.75" hidden="false" customHeight="true" outlineLevel="0" collapsed="false">
      <c r="B43" s="5"/>
      <c r="C43" s="5"/>
      <c r="D43" s="5" t="n">
        <v>3</v>
      </c>
      <c r="E43" s="5" t="s">
        <v>214</v>
      </c>
    </row>
    <row r="44" customFormat="false" ht="27.75" hidden="false" customHeight="true" outlineLevel="0" collapsed="false">
      <c r="B44" s="5" t="s">
        <v>55</v>
      </c>
      <c r="C44" s="5" t="s">
        <v>57</v>
      </c>
      <c r="D44" s="5" t="n">
        <v>1</v>
      </c>
      <c r="E44" s="5" t="s">
        <v>215</v>
      </c>
    </row>
    <row r="45" customFormat="false" ht="27.75" hidden="false" customHeight="true" outlineLevel="0" collapsed="false">
      <c r="B45" s="5"/>
      <c r="C45" s="5"/>
      <c r="D45" s="5" t="n">
        <v>2</v>
      </c>
      <c r="E45" s="5" t="s">
        <v>216</v>
      </c>
    </row>
    <row r="46" customFormat="false" ht="27.75" hidden="false" customHeight="true" outlineLevel="0" collapsed="false">
      <c r="B46" s="5"/>
      <c r="C46" s="5"/>
      <c r="D46" s="5" t="n">
        <v>3</v>
      </c>
      <c r="E46" s="5" t="s">
        <v>217</v>
      </c>
    </row>
    <row r="47" customFormat="false" ht="27.75" hidden="false" customHeight="true" outlineLevel="0" collapsed="false">
      <c r="B47" s="5" t="s">
        <v>58</v>
      </c>
      <c r="C47" s="5" t="s">
        <v>60</v>
      </c>
      <c r="D47" s="5" t="n">
        <v>1</v>
      </c>
      <c r="E47" s="5" t="s">
        <v>218</v>
      </c>
    </row>
    <row r="48" customFormat="false" ht="27.75" hidden="false" customHeight="true" outlineLevel="0" collapsed="false">
      <c r="B48" s="5"/>
      <c r="C48" s="5"/>
      <c r="D48" s="5" t="n">
        <v>2</v>
      </c>
      <c r="E48" s="5" t="s">
        <v>219</v>
      </c>
    </row>
    <row r="49" customFormat="false" ht="27.75" hidden="false" customHeight="true" outlineLevel="0" collapsed="false">
      <c r="B49" s="5"/>
      <c r="C49" s="5"/>
      <c r="D49" s="5" t="n">
        <v>3</v>
      </c>
      <c r="E49" s="5" t="s">
        <v>220</v>
      </c>
    </row>
    <row r="50" customFormat="false" ht="27.75" hidden="false" customHeight="true" outlineLevel="0" collapsed="false">
      <c r="B50" s="5" t="s">
        <v>61</v>
      </c>
      <c r="C50" s="5" t="s">
        <v>63</v>
      </c>
      <c r="D50" s="5" t="n">
        <v>1</v>
      </c>
      <c r="E50" s="5" t="s">
        <v>221</v>
      </c>
    </row>
    <row r="51" customFormat="false" ht="27.75" hidden="false" customHeight="true" outlineLevel="0" collapsed="false">
      <c r="B51" s="5"/>
      <c r="C51" s="5"/>
      <c r="D51" s="5" t="n">
        <v>2</v>
      </c>
      <c r="E51" s="5" t="s">
        <v>222</v>
      </c>
    </row>
    <row r="52" customFormat="false" ht="27.75" hidden="false" customHeight="true" outlineLevel="0" collapsed="false">
      <c r="B52" s="5"/>
      <c r="C52" s="5"/>
      <c r="D52" s="5" t="n">
        <v>3</v>
      </c>
      <c r="E52" s="5" t="s">
        <v>223</v>
      </c>
    </row>
    <row r="53" customFormat="false" ht="27.75" hidden="false" customHeight="true" outlineLevel="0" collapsed="false">
      <c r="B53" s="5" t="s">
        <v>64</v>
      </c>
      <c r="C53" s="5" t="s">
        <v>66</v>
      </c>
      <c r="D53" s="5" t="n">
        <v>1</v>
      </c>
      <c r="E53" s="5" t="s">
        <v>224</v>
      </c>
    </row>
    <row r="54" customFormat="false" ht="27.75" hidden="false" customHeight="true" outlineLevel="0" collapsed="false">
      <c r="B54" s="5"/>
      <c r="C54" s="5"/>
      <c r="D54" s="5" t="n">
        <v>2</v>
      </c>
      <c r="E54" s="5" t="s">
        <v>225</v>
      </c>
    </row>
    <row r="55" customFormat="false" ht="27.75" hidden="false" customHeight="true" outlineLevel="0" collapsed="false">
      <c r="B55" s="5"/>
      <c r="C55" s="5"/>
      <c r="D55" s="5" t="n">
        <v>3</v>
      </c>
      <c r="E55" s="5" t="s">
        <v>226</v>
      </c>
    </row>
    <row r="56" customFormat="false" ht="27.75" hidden="false" customHeight="true" outlineLevel="0" collapsed="false">
      <c r="B56" s="5" t="s">
        <v>67</v>
      </c>
      <c r="C56" s="5" t="s">
        <v>69</v>
      </c>
      <c r="D56" s="5" t="n">
        <v>1</v>
      </c>
      <c r="E56" s="5" t="s">
        <v>227</v>
      </c>
    </row>
    <row r="57" customFormat="false" ht="27.75" hidden="false" customHeight="true" outlineLevel="0" collapsed="false">
      <c r="B57" s="5"/>
      <c r="C57" s="5"/>
      <c r="D57" s="5" t="n">
        <v>2</v>
      </c>
      <c r="E57" s="5" t="s">
        <v>228</v>
      </c>
    </row>
    <row r="58" customFormat="false" ht="27.75" hidden="false" customHeight="true" outlineLevel="0" collapsed="false">
      <c r="B58" s="5"/>
      <c r="C58" s="5"/>
      <c r="D58" s="5" t="n">
        <v>3</v>
      </c>
      <c r="E58" s="5" t="s">
        <v>229</v>
      </c>
    </row>
    <row r="59" customFormat="false" ht="27.75" hidden="false" customHeight="true" outlineLevel="0" collapsed="false">
      <c r="B59" s="5" t="s">
        <v>70</v>
      </c>
      <c r="C59" s="5" t="s">
        <v>72</v>
      </c>
      <c r="D59" s="5" t="n">
        <v>1</v>
      </c>
      <c r="E59" s="5" t="s">
        <v>230</v>
      </c>
    </row>
    <row r="60" customFormat="false" ht="27.75" hidden="false" customHeight="true" outlineLevel="0" collapsed="false">
      <c r="B60" s="5"/>
      <c r="C60" s="5"/>
      <c r="D60" s="5" t="n">
        <v>2</v>
      </c>
      <c r="E60" s="5" t="s">
        <v>231</v>
      </c>
    </row>
    <row r="61" customFormat="false" ht="27.75" hidden="false" customHeight="true" outlineLevel="0" collapsed="false">
      <c r="B61" s="5"/>
      <c r="C61" s="5"/>
      <c r="D61" s="5" t="n">
        <v>3</v>
      </c>
      <c r="E61" s="5" t="s">
        <v>232</v>
      </c>
    </row>
    <row r="62" customFormat="false" ht="27.75" hidden="false" customHeight="true" outlineLevel="0" collapsed="false">
      <c r="B62" s="5" t="s">
        <v>76</v>
      </c>
      <c r="C62" s="5" t="s">
        <v>78</v>
      </c>
      <c r="D62" s="5" t="n">
        <v>1</v>
      </c>
      <c r="E62" s="5" t="s">
        <v>233</v>
      </c>
    </row>
    <row r="63" customFormat="false" ht="27.75" hidden="false" customHeight="true" outlineLevel="0" collapsed="false">
      <c r="B63" s="5"/>
      <c r="C63" s="5"/>
      <c r="D63" s="5" t="n">
        <v>2</v>
      </c>
      <c r="E63" s="5" t="s">
        <v>234</v>
      </c>
    </row>
    <row r="64" customFormat="false" ht="27.75" hidden="false" customHeight="true" outlineLevel="0" collapsed="false">
      <c r="B64" s="5"/>
      <c r="C64" s="5"/>
      <c r="D64" s="5" t="n">
        <v>3</v>
      </c>
      <c r="E64" s="5" t="s">
        <v>235</v>
      </c>
    </row>
    <row r="65" customFormat="false" ht="27.75" hidden="false" customHeight="true" outlineLevel="0" collapsed="false">
      <c r="B65" s="5" t="s">
        <v>80</v>
      </c>
      <c r="C65" s="5" t="s">
        <v>82</v>
      </c>
      <c r="D65" s="5" t="n">
        <v>1</v>
      </c>
      <c r="E65" s="5" t="s">
        <v>236</v>
      </c>
    </row>
    <row r="66" customFormat="false" ht="27.75" hidden="false" customHeight="true" outlineLevel="0" collapsed="false">
      <c r="B66" s="5"/>
      <c r="C66" s="5"/>
      <c r="D66" s="5" t="n">
        <v>2</v>
      </c>
      <c r="E66" s="5" t="s">
        <v>237</v>
      </c>
    </row>
    <row r="67" customFormat="false" ht="27.75" hidden="false" customHeight="true" outlineLevel="0" collapsed="false">
      <c r="B67" s="5"/>
      <c r="C67" s="5"/>
      <c r="D67" s="5" t="n">
        <v>3</v>
      </c>
      <c r="E67" s="5" t="s">
        <v>238</v>
      </c>
    </row>
    <row r="68" customFormat="false" ht="27.75" hidden="false" customHeight="true" outlineLevel="0" collapsed="false">
      <c r="B68" s="5" t="s">
        <v>84</v>
      </c>
      <c r="C68" s="5" t="s">
        <v>86</v>
      </c>
      <c r="D68" s="5" t="n">
        <v>1</v>
      </c>
      <c r="E68" s="5" t="s">
        <v>239</v>
      </c>
    </row>
    <row r="69" customFormat="false" ht="27.75" hidden="false" customHeight="true" outlineLevel="0" collapsed="false">
      <c r="B69" s="5"/>
      <c r="C69" s="5"/>
      <c r="D69" s="5" t="n">
        <v>2</v>
      </c>
      <c r="E69" s="5" t="s">
        <v>240</v>
      </c>
    </row>
    <row r="70" customFormat="false" ht="27.75" hidden="false" customHeight="true" outlineLevel="0" collapsed="false">
      <c r="B70" s="5"/>
      <c r="C70" s="5"/>
      <c r="D70" s="5" t="n">
        <v>3</v>
      </c>
      <c r="E70" s="5" t="s">
        <v>241</v>
      </c>
    </row>
    <row r="71" customFormat="false" ht="27.75" hidden="false" customHeight="true" outlineLevel="0" collapsed="false">
      <c r="B71" s="5" t="s">
        <v>88</v>
      </c>
      <c r="C71" s="5" t="s">
        <v>90</v>
      </c>
      <c r="D71" s="5" t="n">
        <v>1</v>
      </c>
      <c r="E71" s="5" t="s">
        <v>242</v>
      </c>
    </row>
    <row r="72" customFormat="false" ht="27.75" hidden="false" customHeight="true" outlineLevel="0" collapsed="false">
      <c r="B72" s="5"/>
      <c r="C72" s="5"/>
      <c r="D72" s="5" t="n">
        <v>2</v>
      </c>
      <c r="E72" s="5" t="s">
        <v>243</v>
      </c>
    </row>
    <row r="73" customFormat="false" ht="27.75" hidden="false" customHeight="true" outlineLevel="0" collapsed="false">
      <c r="B73" s="5"/>
      <c r="C73" s="5"/>
      <c r="D73" s="5" t="n">
        <v>3</v>
      </c>
      <c r="E73" s="5" t="s">
        <v>244</v>
      </c>
    </row>
    <row r="74" customFormat="false" ht="27.75" hidden="false" customHeight="true" outlineLevel="0" collapsed="false">
      <c r="B74" s="5" t="s">
        <v>92</v>
      </c>
      <c r="C74" s="5" t="s">
        <v>94</v>
      </c>
      <c r="D74" s="5" t="n">
        <v>1</v>
      </c>
      <c r="E74" s="5" t="s">
        <v>245</v>
      </c>
    </row>
    <row r="75" customFormat="false" ht="27.75" hidden="false" customHeight="true" outlineLevel="0" collapsed="false">
      <c r="B75" s="5"/>
      <c r="C75" s="5"/>
      <c r="D75" s="5" t="n">
        <v>2</v>
      </c>
      <c r="E75" s="5" t="s">
        <v>246</v>
      </c>
    </row>
    <row r="76" customFormat="false" ht="27.75" hidden="false" customHeight="true" outlineLevel="0" collapsed="false">
      <c r="B76" s="5"/>
      <c r="C76" s="5"/>
      <c r="D76" s="5" t="n">
        <v>3</v>
      </c>
      <c r="E76" s="5" t="s">
        <v>247</v>
      </c>
    </row>
    <row r="77" customFormat="false" ht="27.75" hidden="false" customHeight="true" outlineLevel="0" collapsed="false">
      <c r="B77" s="5" t="s">
        <v>96</v>
      </c>
      <c r="C77" s="5" t="s">
        <v>98</v>
      </c>
      <c r="D77" s="5" t="n">
        <v>1</v>
      </c>
      <c r="E77" s="5" t="s">
        <v>248</v>
      </c>
    </row>
    <row r="78" customFormat="false" ht="27.75" hidden="false" customHeight="true" outlineLevel="0" collapsed="false">
      <c r="B78" s="5"/>
      <c r="C78" s="5"/>
      <c r="D78" s="5" t="n">
        <v>2</v>
      </c>
      <c r="E78" s="5" t="s">
        <v>249</v>
      </c>
    </row>
    <row r="79" customFormat="false" ht="27.75" hidden="false" customHeight="true" outlineLevel="0" collapsed="false">
      <c r="B79" s="5"/>
      <c r="C79" s="5"/>
      <c r="D79" s="5" t="n">
        <v>3</v>
      </c>
      <c r="E79" s="5" t="s">
        <v>250</v>
      </c>
    </row>
    <row r="80" customFormat="false" ht="27.75" hidden="false" customHeight="true" outlineLevel="0" collapsed="false">
      <c r="B80" s="5" t="s">
        <v>101</v>
      </c>
      <c r="C80" s="5" t="s">
        <v>103</v>
      </c>
      <c r="D80" s="5" t="n">
        <v>1</v>
      </c>
      <c r="E80" s="5" t="s">
        <v>251</v>
      </c>
    </row>
    <row r="81" customFormat="false" ht="27.75" hidden="false" customHeight="true" outlineLevel="0" collapsed="false">
      <c r="B81" s="5"/>
      <c r="C81" s="5"/>
      <c r="D81" s="5" t="n">
        <v>2</v>
      </c>
      <c r="E81" s="5" t="s">
        <v>252</v>
      </c>
    </row>
    <row r="82" customFormat="false" ht="27.75" hidden="false" customHeight="true" outlineLevel="0" collapsed="false">
      <c r="B82" s="5"/>
      <c r="C82" s="5"/>
      <c r="D82" s="5" t="n">
        <v>3</v>
      </c>
      <c r="E82" s="5" t="s">
        <v>253</v>
      </c>
    </row>
    <row r="83" customFormat="false" ht="27.75" hidden="false" customHeight="true" outlineLevel="0" collapsed="false">
      <c r="B83" s="5" t="s">
        <v>105</v>
      </c>
      <c r="C83" s="5" t="s">
        <v>107</v>
      </c>
      <c r="D83" s="5" t="n">
        <v>1</v>
      </c>
      <c r="E83" s="5" t="s">
        <v>254</v>
      </c>
    </row>
    <row r="84" customFormat="false" ht="27.75" hidden="false" customHeight="true" outlineLevel="0" collapsed="false">
      <c r="B84" s="5"/>
      <c r="C84" s="5"/>
      <c r="D84" s="5" t="n">
        <v>2</v>
      </c>
      <c r="E84" s="5" t="s">
        <v>255</v>
      </c>
    </row>
    <row r="85" customFormat="false" ht="27.75" hidden="false" customHeight="true" outlineLevel="0" collapsed="false">
      <c r="B85" s="5"/>
      <c r="C85" s="5"/>
      <c r="D85" s="5" t="n">
        <v>3</v>
      </c>
      <c r="E85" s="5" t="s">
        <v>256</v>
      </c>
    </row>
    <row r="86" customFormat="false" ht="27.75" hidden="false" customHeight="true" outlineLevel="0" collapsed="false">
      <c r="B86" s="5" t="s">
        <v>109</v>
      </c>
      <c r="C86" s="5" t="s">
        <v>111</v>
      </c>
      <c r="D86" s="5" t="n">
        <v>1</v>
      </c>
      <c r="E86" s="5" t="s">
        <v>257</v>
      </c>
    </row>
    <row r="87" customFormat="false" ht="27.75" hidden="false" customHeight="true" outlineLevel="0" collapsed="false">
      <c r="B87" s="5"/>
      <c r="C87" s="5"/>
      <c r="D87" s="5" t="n">
        <v>2</v>
      </c>
      <c r="E87" s="5" t="s">
        <v>258</v>
      </c>
    </row>
    <row r="88" customFormat="false" ht="27.75" hidden="false" customHeight="true" outlineLevel="0" collapsed="false">
      <c r="B88" s="5"/>
      <c r="C88" s="5"/>
      <c r="D88" s="5" t="n">
        <v>3</v>
      </c>
      <c r="E88" s="5" t="s">
        <v>259</v>
      </c>
    </row>
    <row r="89" customFormat="false" ht="27.75" hidden="false" customHeight="true" outlineLevel="0" collapsed="false">
      <c r="B89" s="5" t="s">
        <v>113</v>
      </c>
      <c r="C89" s="5" t="s">
        <v>115</v>
      </c>
      <c r="D89" s="5" t="n">
        <v>1</v>
      </c>
      <c r="E89" s="5" t="s">
        <v>260</v>
      </c>
    </row>
    <row r="90" customFormat="false" ht="27.75" hidden="false" customHeight="true" outlineLevel="0" collapsed="false">
      <c r="B90" s="5"/>
      <c r="C90" s="5"/>
      <c r="D90" s="5" t="n">
        <v>2</v>
      </c>
      <c r="E90" s="5" t="s">
        <v>261</v>
      </c>
    </row>
    <row r="91" customFormat="false" ht="27.75" hidden="false" customHeight="true" outlineLevel="0" collapsed="false">
      <c r="B91" s="5"/>
      <c r="C91" s="5"/>
      <c r="D91" s="5" t="n">
        <v>3</v>
      </c>
      <c r="E91" s="5" t="s">
        <v>262</v>
      </c>
    </row>
    <row r="92" customFormat="false" ht="27.75" hidden="false" customHeight="true" outlineLevel="0" collapsed="false">
      <c r="B92" s="5" t="s">
        <v>117</v>
      </c>
      <c r="C92" s="5" t="s">
        <v>119</v>
      </c>
      <c r="D92" s="5" t="n">
        <v>1</v>
      </c>
      <c r="E92" s="5" t="s">
        <v>263</v>
      </c>
    </row>
    <row r="93" customFormat="false" ht="27.75" hidden="false" customHeight="true" outlineLevel="0" collapsed="false">
      <c r="B93" s="5"/>
      <c r="C93" s="5"/>
      <c r="D93" s="5" t="n">
        <v>2</v>
      </c>
      <c r="E93" s="5" t="s">
        <v>264</v>
      </c>
    </row>
    <row r="94" customFormat="false" ht="27.75" hidden="false" customHeight="true" outlineLevel="0" collapsed="false">
      <c r="B94" s="5"/>
      <c r="C94" s="5"/>
      <c r="D94" s="5" t="n">
        <v>3</v>
      </c>
      <c r="E94" s="5" t="s">
        <v>265</v>
      </c>
    </row>
    <row r="95" customFormat="false" ht="27.75" hidden="false" customHeight="true" outlineLevel="0" collapsed="false">
      <c r="B95" s="5" t="s">
        <v>121</v>
      </c>
      <c r="C95" s="5" t="s">
        <v>123</v>
      </c>
      <c r="D95" s="5" t="n">
        <v>1</v>
      </c>
      <c r="E95" s="5" t="s">
        <v>266</v>
      </c>
    </row>
    <row r="96" customFormat="false" ht="27.75" hidden="false" customHeight="true" outlineLevel="0" collapsed="false">
      <c r="B96" s="5"/>
      <c r="C96" s="5"/>
      <c r="D96" s="5" t="n">
        <v>2</v>
      </c>
      <c r="E96" s="5" t="s">
        <v>267</v>
      </c>
    </row>
    <row r="97" customFormat="false" ht="27.75" hidden="false" customHeight="true" outlineLevel="0" collapsed="false">
      <c r="B97" s="5"/>
      <c r="C97" s="5"/>
      <c r="D97" s="5" t="n">
        <v>3</v>
      </c>
      <c r="E97" s="5" t="s">
        <v>268</v>
      </c>
    </row>
    <row r="98" customFormat="false" ht="27.75" hidden="false" customHeight="true" outlineLevel="0" collapsed="false">
      <c r="B98" s="5" t="s">
        <v>126</v>
      </c>
      <c r="C98" s="5" t="s">
        <v>128</v>
      </c>
      <c r="D98" s="5" t="n">
        <v>1</v>
      </c>
      <c r="E98" s="5" t="s">
        <v>269</v>
      </c>
    </row>
    <row r="99" customFormat="false" ht="27.75" hidden="false" customHeight="true" outlineLevel="0" collapsed="false">
      <c r="B99" s="5"/>
      <c r="C99" s="5"/>
      <c r="D99" s="5" t="n">
        <v>2</v>
      </c>
      <c r="E99" s="5" t="s">
        <v>270</v>
      </c>
    </row>
    <row r="100" customFormat="false" ht="27.75" hidden="false" customHeight="true" outlineLevel="0" collapsed="false">
      <c r="B100" s="5"/>
      <c r="C100" s="5"/>
      <c r="D100" s="5" t="n">
        <v>3</v>
      </c>
      <c r="E100" s="5" t="s">
        <v>271</v>
      </c>
    </row>
    <row r="101" customFormat="false" ht="27.75" hidden="false" customHeight="true" outlineLevel="0" collapsed="false">
      <c r="B101" s="5" t="s">
        <v>130</v>
      </c>
      <c r="C101" s="5" t="s">
        <v>132</v>
      </c>
      <c r="D101" s="5" t="n">
        <v>1</v>
      </c>
      <c r="E101" s="5" t="s">
        <v>272</v>
      </c>
    </row>
    <row r="102" customFormat="false" ht="27.75" hidden="false" customHeight="true" outlineLevel="0" collapsed="false">
      <c r="B102" s="5"/>
      <c r="C102" s="5"/>
      <c r="D102" s="5" t="n">
        <v>2</v>
      </c>
      <c r="E102" s="5" t="s">
        <v>273</v>
      </c>
    </row>
    <row r="103" customFormat="false" ht="27.75" hidden="false" customHeight="true" outlineLevel="0" collapsed="false">
      <c r="B103" s="5"/>
      <c r="C103" s="5"/>
      <c r="D103" s="5" t="n">
        <v>3</v>
      </c>
      <c r="E103" s="5" t="s">
        <v>274</v>
      </c>
    </row>
    <row r="104" customFormat="false" ht="27.75" hidden="false" customHeight="true" outlineLevel="0" collapsed="false">
      <c r="B104" s="5" t="s">
        <v>134</v>
      </c>
      <c r="C104" s="5" t="s">
        <v>136</v>
      </c>
      <c r="D104" s="5" t="n">
        <v>1</v>
      </c>
      <c r="E104" s="5" t="s">
        <v>275</v>
      </c>
    </row>
    <row r="105" customFormat="false" ht="27.75" hidden="false" customHeight="true" outlineLevel="0" collapsed="false">
      <c r="B105" s="5"/>
      <c r="C105" s="5"/>
      <c r="D105" s="5" t="n">
        <v>2</v>
      </c>
      <c r="E105" s="5" t="s">
        <v>276</v>
      </c>
    </row>
    <row r="106" customFormat="false" ht="27.75" hidden="false" customHeight="true" outlineLevel="0" collapsed="false">
      <c r="B106" s="5"/>
      <c r="C106" s="5"/>
      <c r="D106" s="5" t="n">
        <v>3</v>
      </c>
      <c r="E106" s="5" t="s">
        <v>277</v>
      </c>
    </row>
    <row r="107" customFormat="false" ht="27.75" hidden="false" customHeight="true" outlineLevel="0" collapsed="false">
      <c r="B107" s="5" t="s">
        <v>138</v>
      </c>
      <c r="C107" s="5" t="s">
        <v>140</v>
      </c>
      <c r="D107" s="5" t="n">
        <v>1</v>
      </c>
      <c r="E107" s="5" t="s">
        <v>278</v>
      </c>
    </row>
    <row r="108" customFormat="false" ht="27.75" hidden="false" customHeight="true" outlineLevel="0" collapsed="false">
      <c r="B108" s="5"/>
      <c r="C108" s="5"/>
      <c r="D108" s="5" t="n">
        <v>2</v>
      </c>
      <c r="E108" s="5" t="s">
        <v>279</v>
      </c>
    </row>
    <row r="109" customFormat="false" ht="27.75" hidden="false" customHeight="true" outlineLevel="0" collapsed="false">
      <c r="B109" s="5"/>
      <c r="C109" s="5"/>
      <c r="D109" s="5" t="n">
        <v>3</v>
      </c>
      <c r="E109" s="5" t="s">
        <v>280</v>
      </c>
    </row>
    <row r="110" customFormat="false" ht="27.75" hidden="false" customHeight="true" outlineLevel="0" collapsed="false">
      <c r="B110" s="5" t="s">
        <v>143</v>
      </c>
      <c r="C110" s="5" t="s">
        <v>145</v>
      </c>
      <c r="D110" s="5" t="n">
        <v>1</v>
      </c>
      <c r="E110" s="5" t="s">
        <v>281</v>
      </c>
    </row>
    <row r="111" customFormat="false" ht="27.75" hidden="false" customHeight="true" outlineLevel="0" collapsed="false">
      <c r="B111" s="5"/>
      <c r="C111" s="5"/>
      <c r="D111" s="5" t="n">
        <v>2</v>
      </c>
      <c r="E111" s="5" t="s">
        <v>282</v>
      </c>
    </row>
    <row r="112" customFormat="false" ht="27.75" hidden="false" customHeight="true" outlineLevel="0" collapsed="false">
      <c r="B112" s="5"/>
      <c r="C112" s="5"/>
      <c r="D112" s="5" t="n">
        <v>3</v>
      </c>
      <c r="E112" s="5" t="s">
        <v>283</v>
      </c>
    </row>
    <row r="113" customFormat="false" ht="27.75" hidden="false" customHeight="true" outlineLevel="0" collapsed="false">
      <c r="B113" s="5" t="s">
        <v>147</v>
      </c>
      <c r="C113" s="5" t="s">
        <v>149</v>
      </c>
      <c r="D113" s="5" t="n">
        <v>1</v>
      </c>
      <c r="E113" s="5" t="s">
        <v>284</v>
      </c>
    </row>
    <row r="114" customFormat="false" ht="27.75" hidden="false" customHeight="true" outlineLevel="0" collapsed="false">
      <c r="B114" s="5"/>
      <c r="C114" s="5"/>
      <c r="D114" s="5" t="n">
        <v>2</v>
      </c>
      <c r="E114" s="5" t="s">
        <v>285</v>
      </c>
    </row>
    <row r="115" customFormat="false" ht="27.75" hidden="false" customHeight="true" outlineLevel="0" collapsed="false">
      <c r="B115" s="5"/>
      <c r="C115" s="5"/>
      <c r="D115" s="5" t="n">
        <v>3</v>
      </c>
      <c r="E115" s="5" t="s">
        <v>286</v>
      </c>
    </row>
    <row r="116" customFormat="false" ht="27.75" hidden="false" customHeight="true" outlineLevel="0" collapsed="false">
      <c r="B116" s="5" t="s">
        <v>151</v>
      </c>
      <c r="C116" s="5" t="s">
        <v>153</v>
      </c>
      <c r="D116" s="5" t="n">
        <v>1</v>
      </c>
      <c r="E116" s="5" t="s">
        <v>287</v>
      </c>
    </row>
    <row r="117" customFormat="false" ht="27.75" hidden="false" customHeight="true" outlineLevel="0" collapsed="false">
      <c r="B117" s="5"/>
      <c r="C117" s="5"/>
      <c r="D117" s="5" t="n">
        <v>2</v>
      </c>
      <c r="E117" s="5" t="s">
        <v>288</v>
      </c>
    </row>
    <row r="118" customFormat="false" ht="27.75" hidden="false" customHeight="true" outlineLevel="0" collapsed="false">
      <c r="B118" s="5"/>
      <c r="C118" s="5"/>
      <c r="D118" s="5" t="n">
        <v>3</v>
      </c>
      <c r="E118" s="5" t="s">
        <v>289</v>
      </c>
    </row>
    <row r="119" customFormat="false" ht="27.75" hidden="false" customHeight="true" outlineLevel="0" collapsed="false">
      <c r="B119" s="5" t="s">
        <v>154</v>
      </c>
      <c r="C119" s="5" t="s">
        <v>156</v>
      </c>
      <c r="D119" s="5" t="n">
        <v>1</v>
      </c>
      <c r="E119" s="5" t="s">
        <v>290</v>
      </c>
    </row>
    <row r="120" customFormat="false" ht="27.75" hidden="false" customHeight="true" outlineLevel="0" collapsed="false">
      <c r="B120" s="5"/>
      <c r="C120" s="5"/>
      <c r="D120" s="5" t="n">
        <v>2</v>
      </c>
      <c r="E120" s="5" t="s">
        <v>291</v>
      </c>
    </row>
    <row r="121" customFormat="false" ht="27.75" hidden="false" customHeight="true" outlineLevel="0" collapsed="false">
      <c r="B121" s="5"/>
      <c r="C121" s="5"/>
      <c r="D121" s="5" t="n">
        <v>3</v>
      </c>
      <c r="E121" s="5" t="s">
        <v>292</v>
      </c>
    </row>
    <row r="122" customFormat="false" ht="27.75" hidden="false" customHeight="true" outlineLevel="0" collapsed="false">
      <c r="B122" s="5" t="s">
        <v>158</v>
      </c>
      <c r="C122" s="5" t="s">
        <v>160</v>
      </c>
      <c r="D122" s="5" t="n">
        <v>1</v>
      </c>
      <c r="E122" s="5" t="s">
        <v>293</v>
      </c>
    </row>
    <row r="123" customFormat="false" ht="27.75" hidden="false" customHeight="true" outlineLevel="0" collapsed="false">
      <c r="B123" s="5"/>
      <c r="C123" s="5"/>
      <c r="D123" s="5" t="n">
        <v>2</v>
      </c>
      <c r="E123" s="5" t="s">
        <v>294</v>
      </c>
    </row>
    <row r="124" customFormat="false" ht="27.75" hidden="false" customHeight="true" outlineLevel="0" collapsed="false">
      <c r="B124" s="5"/>
      <c r="C124" s="5"/>
      <c r="D124" s="5" t="n">
        <v>3</v>
      </c>
      <c r="E124" s="5" t="s">
        <v>295</v>
      </c>
    </row>
    <row r="125" customFormat="false" ht="27.75" hidden="false" customHeight="true" outlineLevel="0" collapsed="false">
      <c r="B125" s="5" t="s">
        <v>161</v>
      </c>
      <c r="C125" s="5" t="s">
        <v>163</v>
      </c>
      <c r="D125" s="5" t="n">
        <v>1</v>
      </c>
      <c r="E125" s="5" t="s">
        <v>296</v>
      </c>
    </row>
    <row r="126" customFormat="false" ht="27.75" hidden="false" customHeight="true" outlineLevel="0" collapsed="false">
      <c r="B126" s="5"/>
      <c r="C126" s="5"/>
      <c r="D126" s="5" t="n">
        <v>2</v>
      </c>
      <c r="E126" s="5" t="s">
        <v>297</v>
      </c>
    </row>
    <row r="127" customFormat="false" ht="27.75" hidden="false" customHeight="true" outlineLevel="0" collapsed="false">
      <c r="B127" s="5"/>
      <c r="C127" s="5"/>
      <c r="D127" s="5" t="n">
        <v>3</v>
      </c>
      <c r="E127" s="5" t="s">
        <v>298</v>
      </c>
    </row>
    <row r="128" customFormat="false" ht="27.75" hidden="false" customHeight="true" outlineLevel="0" collapsed="false">
      <c r="B128" s="5" t="s">
        <v>165</v>
      </c>
      <c r="C128" s="5" t="s">
        <v>167</v>
      </c>
      <c r="D128" s="5" t="n">
        <v>1</v>
      </c>
      <c r="E128" s="5" t="s">
        <v>299</v>
      </c>
    </row>
    <row r="129" customFormat="false" ht="27.75" hidden="false" customHeight="true" outlineLevel="0" collapsed="false">
      <c r="B129" s="5"/>
      <c r="C129" s="5"/>
      <c r="D129" s="5" t="n">
        <v>2</v>
      </c>
      <c r="E129" s="5" t="s">
        <v>300</v>
      </c>
    </row>
    <row r="130" customFormat="false" ht="27.75" hidden="false" customHeight="true" outlineLevel="0" collapsed="false">
      <c r="B130" s="5"/>
      <c r="C130" s="5"/>
      <c r="D130" s="5" t="n">
        <v>3</v>
      </c>
      <c r="E130" s="5"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0" activeCellId="0" sqref="D20"/>
    </sheetView>
  </sheetViews>
  <sheetFormatPr defaultColWidth="8.66796875" defaultRowHeight="15" zeroHeight="false" outlineLevelRow="0" outlineLevelCol="0"/>
  <cols>
    <col collapsed="false" customWidth="true" hidden="false" outlineLevel="0" max="1" min="1" style="0" width="1.33"/>
    <col collapsed="false" customWidth="true" hidden="false" outlineLevel="0" max="2" min="2" style="0" width="32"/>
    <col collapsed="false" customWidth="true" hidden="false" outlineLevel="0" max="3" min="3" style="0" width="30"/>
    <col collapsed="false" customWidth="true" hidden="false" outlineLevel="0" max="4" min="4" style="0" width="52"/>
    <col collapsed="false" customWidth="true" hidden="false" outlineLevel="0" max="5" min="5" style="0" width="13"/>
    <col collapsed="false" customWidth="true" hidden="false" outlineLevel="0" max="6" min="6" style="0" width="11"/>
    <col collapsed="false" customWidth="true" hidden="false" outlineLevel="0" max="7" min="7" style="0" width="9"/>
  </cols>
  <sheetData>
    <row r="1" customFormat="false" ht="36" hidden="false" customHeight="true" outlineLevel="0" collapsed="false">
      <c r="B1" s="2" t="s">
        <v>302</v>
      </c>
    </row>
    <row r="2" customFormat="false" ht="21" hidden="false" customHeight="true" outlineLevel="0" collapsed="false">
      <c r="B2" s="3" t="s">
        <v>303</v>
      </c>
    </row>
    <row r="4" customFormat="false" ht="30" hidden="false" customHeight="true" outlineLevel="0" collapsed="false">
      <c r="B4" s="4" t="s">
        <v>304</v>
      </c>
      <c r="C4" s="4" t="s">
        <v>305</v>
      </c>
      <c r="D4" s="4" t="s">
        <v>306</v>
      </c>
      <c r="E4" s="4" t="s">
        <v>5</v>
      </c>
      <c r="F4" s="4" t="s">
        <v>307</v>
      </c>
      <c r="G4" s="4" t="s">
        <v>308</v>
      </c>
    </row>
    <row r="5" customFormat="false" ht="27.75" hidden="false" customHeight="true" outlineLevel="0" collapsed="false">
      <c r="B5" s="5" t="s">
        <v>14</v>
      </c>
      <c r="C5" s="5" t="s">
        <v>309</v>
      </c>
      <c r="D5" s="5" t="s">
        <v>310</v>
      </c>
      <c r="E5" s="5" t="s">
        <v>311</v>
      </c>
      <c r="F5" s="5" t="n">
        <v>3</v>
      </c>
      <c r="G5" s="5" t="n">
        <v>13</v>
      </c>
    </row>
    <row r="6" customFormat="false" ht="27.75" hidden="false" customHeight="true" outlineLevel="0" collapsed="false">
      <c r="B6" s="5" t="s">
        <v>25</v>
      </c>
      <c r="C6" s="5" t="s">
        <v>312</v>
      </c>
      <c r="D6" s="5" t="s">
        <v>313</v>
      </c>
      <c r="E6" s="5" t="s">
        <v>311</v>
      </c>
      <c r="F6" s="5" t="n">
        <v>8</v>
      </c>
      <c r="G6" s="5" t="n">
        <v>22</v>
      </c>
    </row>
    <row r="7" customFormat="false" ht="27.75" hidden="false" customHeight="true" outlineLevel="0" collapsed="false">
      <c r="B7" s="5" t="s">
        <v>51</v>
      </c>
      <c r="C7" s="5" t="s">
        <v>314</v>
      </c>
      <c r="D7" s="5" t="s">
        <v>315</v>
      </c>
      <c r="E7" s="5" t="s">
        <v>311</v>
      </c>
      <c r="F7" s="5" t="n">
        <v>7</v>
      </c>
      <c r="G7" s="5" t="n">
        <v>28</v>
      </c>
    </row>
    <row r="8" customFormat="false" ht="27.75" hidden="false" customHeight="true" outlineLevel="0" collapsed="false">
      <c r="B8" s="5" t="s">
        <v>74</v>
      </c>
      <c r="C8" s="5" t="s">
        <v>316</v>
      </c>
      <c r="D8" s="5" t="s">
        <v>317</v>
      </c>
      <c r="E8" s="5" t="s">
        <v>318</v>
      </c>
      <c r="F8" s="5" t="n">
        <v>6</v>
      </c>
      <c r="G8" s="5" t="n">
        <v>27</v>
      </c>
    </row>
    <row r="9" customFormat="false" ht="27.75" hidden="false" customHeight="true" outlineLevel="0" collapsed="false">
      <c r="B9" s="5" t="s">
        <v>99</v>
      </c>
      <c r="C9" s="5" t="s">
        <v>319</v>
      </c>
      <c r="D9" s="5" t="s">
        <v>320</v>
      </c>
      <c r="E9" s="5" t="s">
        <v>321</v>
      </c>
      <c r="F9" s="5" t="n">
        <v>6</v>
      </c>
      <c r="G9" s="5" t="n">
        <v>32</v>
      </c>
    </row>
    <row r="10" customFormat="false" ht="27.75" hidden="false" customHeight="true" outlineLevel="0" collapsed="false">
      <c r="B10" s="5" t="s">
        <v>124</v>
      </c>
      <c r="C10" s="5" t="s">
        <v>322</v>
      </c>
      <c r="D10" s="5" t="s">
        <v>323</v>
      </c>
      <c r="E10" s="5" t="s">
        <v>321</v>
      </c>
      <c r="F10" s="5" t="n">
        <v>4</v>
      </c>
      <c r="G10" s="5" t="n">
        <v>27</v>
      </c>
    </row>
    <row r="11" customFormat="false" ht="27.75" hidden="false" customHeight="true" outlineLevel="0" collapsed="false">
      <c r="B11" s="5" t="s">
        <v>141</v>
      </c>
      <c r="C11" s="5" t="s">
        <v>324</v>
      </c>
      <c r="D11" s="5" t="s">
        <v>325</v>
      </c>
      <c r="E11" s="5" t="s">
        <v>321</v>
      </c>
      <c r="F11" s="5" t="n">
        <v>7</v>
      </c>
      <c r="G11" s="5" t="n">
        <v>30</v>
      </c>
    </row>
    <row r="13" customFormat="false" ht="15.75" hidden="false" customHeight="true" outlineLevel="0" collapsed="false">
      <c r="B13" s="4" t="s">
        <v>326</v>
      </c>
      <c r="F13" s="4" t="n">
        <f aca="false">SUM(F5:F11)</f>
        <v>41</v>
      </c>
      <c r="G13" s="4" t="n">
        <f aca="false">SUM(G5:G11)</f>
        <v>179</v>
      </c>
    </row>
    <row r="15" customFormat="false" ht="60.75" hidden="false" customHeight="true" outlineLevel="0" collapsed="false">
      <c r="B15" s="5" t="s">
        <v>327</v>
      </c>
    </row>
    <row r="16" customFormat="false" ht="60" hidden="false" customHeight="true" outlineLevel="0" collapsed="false">
      <c r="B16" s="5" t="s">
        <v>328</v>
      </c>
    </row>
    <row r="17" customFormat="false" ht="63" hidden="false" customHeight="true" outlineLevel="0" collapsed="false">
      <c r="B17" s="5" t="s">
        <v>329</v>
      </c>
    </row>
    <row r="18" customFormat="false" ht="105" hidden="false" customHeight="true" outlineLevel="0" collapsed="false">
      <c r="B18" s="5" t="s">
        <v>330</v>
      </c>
    </row>
    <row r="19" customFormat="false" ht="88.5" hidden="false" customHeight="true" outlineLevel="0" collapsed="false">
      <c r="B19" s="5" t="s">
        <v>331</v>
      </c>
    </row>
    <row r="20" customFormat="false" ht="70.5" hidden="false" customHeight="true" outlineLevel="0" collapsed="false">
      <c r="B20" s="5" t="s">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9"/>
    <col collapsed="false" customWidth="true" hidden="false" outlineLevel="0" max="2" min="2" style="0" width="16.39"/>
    <col collapsed="false" customWidth="true" hidden="false" outlineLevel="0" max="3" min="3" style="0" width="26"/>
    <col collapsed="false" customWidth="true" hidden="false" outlineLevel="0" max="4" min="4" style="0" width="9.51"/>
    <col collapsed="false" customWidth="true" hidden="false" outlineLevel="0" max="5" min="5" style="0" width="62"/>
    <col collapsed="false" customWidth="true" hidden="false" outlineLevel="0" max="6" min="6" style="0" width="14"/>
    <col collapsed="false" customWidth="true" hidden="false" outlineLevel="0" max="7" min="7" style="0" width="13"/>
    <col collapsed="false" customWidth="true" hidden="false" outlineLevel="0" max="8" min="8" style="0" width="11"/>
  </cols>
  <sheetData>
    <row r="1" customFormat="false" ht="36" hidden="false" customHeight="true" outlineLevel="0" collapsed="false">
      <c r="B1" s="2" t="s">
        <v>333</v>
      </c>
    </row>
    <row r="2" customFormat="false" ht="21" hidden="false" customHeight="true" outlineLevel="0" collapsed="false">
      <c r="B2" s="3" t="s">
        <v>334</v>
      </c>
    </row>
    <row r="4" customFormat="false" ht="30" hidden="false" customHeight="true" outlineLevel="0" collapsed="false">
      <c r="B4" s="4" t="s">
        <v>335</v>
      </c>
      <c r="C4" s="4" t="s">
        <v>336</v>
      </c>
      <c r="D4" s="4" t="s">
        <v>337</v>
      </c>
      <c r="E4" s="4" t="s">
        <v>338</v>
      </c>
      <c r="F4" s="4" t="s">
        <v>339</v>
      </c>
      <c r="G4" s="4" t="s">
        <v>5</v>
      </c>
      <c r="H4" s="4" t="s">
        <v>340</v>
      </c>
    </row>
    <row r="5" customFormat="false" ht="25.5" hidden="false" customHeight="true" outlineLevel="0" collapsed="false">
      <c r="B5" s="5" t="s">
        <v>10</v>
      </c>
      <c r="C5" s="5" t="s">
        <v>12</v>
      </c>
      <c r="D5" s="5" t="s">
        <v>341</v>
      </c>
      <c r="E5" s="5" t="s">
        <v>342</v>
      </c>
      <c r="F5" s="5" t="s">
        <v>343</v>
      </c>
      <c r="G5" s="5" t="s">
        <v>344</v>
      </c>
      <c r="H5" s="5" t="n">
        <v>4</v>
      </c>
    </row>
    <row r="6" customFormat="false" ht="25.5" hidden="false" customHeight="true" outlineLevel="0" collapsed="false">
      <c r="B6" s="5"/>
      <c r="C6" s="5"/>
      <c r="D6" s="5" t="s">
        <v>345</v>
      </c>
      <c r="E6" s="5" t="s">
        <v>346</v>
      </c>
      <c r="F6" s="5" t="s">
        <v>343</v>
      </c>
      <c r="G6" s="5" t="s">
        <v>344</v>
      </c>
      <c r="H6" s="5" t="n">
        <v>4</v>
      </c>
    </row>
    <row r="7" customFormat="false" ht="25.5" hidden="false" customHeight="true" outlineLevel="0" collapsed="false">
      <c r="B7" s="5"/>
      <c r="C7" s="5"/>
      <c r="D7" s="5" t="s">
        <v>347</v>
      </c>
      <c r="E7" s="5" t="s">
        <v>348</v>
      </c>
      <c r="F7" s="5" t="s">
        <v>343</v>
      </c>
      <c r="G7" s="5" t="s">
        <v>344</v>
      </c>
      <c r="H7" s="5" t="n">
        <v>2</v>
      </c>
    </row>
    <row r="8" customFormat="false" ht="25.5" hidden="false" customHeight="true" outlineLevel="0" collapsed="false">
      <c r="B8" s="5" t="s">
        <v>16</v>
      </c>
      <c r="C8" s="5" t="s">
        <v>18</v>
      </c>
      <c r="D8" s="5" t="s">
        <v>341</v>
      </c>
      <c r="E8" s="5" t="s">
        <v>349</v>
      </c>
      <c r="F8" s="5" t="s">
        <v>350</v>
      </c>
      <c r="G8" s="5" t="s">
        <v>344</v>
      </c>
      <c r="H8" s="5" t="n">
        <v>3</v>
      </c>
    </row>
    <row r="9" customFormat="false" ht="25.5" hidden="false" customHeight="true" outlineLevel="0" collapsed="false">
      <c r="B9" s="5"/>
      <c r="C9" s="5"/>
      <c r="D9" s="5" t="s">
        <v>345</v>
      </c>
      <c r="E9" s="5" t="s">
        <v>351</v>
      </c>
      <c r="F9" s="5" t="s">
        <v>350</v>
      </c>
      <c r="G9" s="5" t="s">
        <v>344</v>
      </c>
      <c r="H9" s="5" t="n">
        <v>4</v>
      </c>
    </row>
    <row r="10" customFormat="false" ht="25.5" hidden="false" customHeight="true" outlineLevel="0" collapsed="false">
      <c r="B10" s="5"/>
      <c r="C10" s="5"/>
      <c r="D10" s="5" t="s">
        <v>347</v>
      </c>
      <c r="E10" s="5" t="s">
        <v>352</v>
      </c>
      <c r="F10" s="5" t="s">
        <v>350</v>
      </c>
      <c r="G10" s="5" t="s">
        <v>344</v>
      </c>
      <c r="H10" s="5" t="n">
        <v>2</v>
      </c>
    </row>
    <row r="11" customFormat="false" ht="25.5" hidden="false" customHeight="true" outlineLevel="0" collapsed="false">
      <c r="B11" s="5" t="s">
        <v>19</v>
      </c>
      <c r="C11" s="5" t="s">
        <v>21</v>
      </c>
      <c r="D11" s="5" t="s">
        <v>341</v>
      </c>
      <c r="E11" s="5" t="s">
        <v>353</v>
      </c>
      <c r="F11" s="5" t="s">
        <v>354</v>
      </c>
      <c r="G11" s="5" t="s">
        <v>344</v>
      </c>
      <c r="H11" s="5" t="n">
        <v>3</v>
      </c>
    </row>
    <row r="12" customFormat="false" ht="25.5" hidden="false" customHeight="true" outlineLevel="0" collapsed="false">
      <c r="B12" s="5"/>
      <c r="C12" s="5"/>
      <c r="D12" s="5" t="s">
        <v>345</v>
      </c>
      <c r="E12" s="5" t="s">
        <v>355</v>
      </c>
      <c r="F12" s="5" t="s">
        <v>354</v>
      </c>
      <c r="G12" s="5" t="s">
        <v>344</v>
      </c>
      <c r="H12" s="5" t="n">
        <v>4</v>
      </c>
    </row>
    <row r="13" customFormat="false" ht="25.5" hidden="false" customHeight="true" outlineLevel="0" collapsed="false">
      <c r="B13" s="5"/>
      <c r="C13" s="5"/>
      <c r="D13" s="5" t="s">
        <v>347</v>
      </c>
      <c r="E13" s="5" t="s">
        <v>356</v>
      </c>
      <c r="F13" s="5" t="s">
        <v>354</v>
      </c>
      <c r="G13" s="5" t="s">
        <v>344</v>
      </c>
      <c r="H13" s="5" t="n">
        <v>3</v>
      </c>
    </row>
    <row r="14" customFormat="false" ht="25.5" hidden="false" customHeight="true" outlineLevel="0" collapsed="false">
      <c r="B14" s="5"/>
      <c r="C14" s="5"/>
      <c r="D14" s="5" t="s">
        <v>357</v>
      </c>
      <c r="E14" s="5" t="s">
        <v>358</v>
      </c>
      <c r="F14" s="5" t="s">
        <v>359</v>
      </c>
      <c r="G14" s="5" t="s">
        <v>344</v>
      </c>
      <c r="H14" s="5" t="n">
        <v>3</v>
      </c>
    </row>
    <row r="16" customFormat="false" ht="15" hidden="false" customHeight="false" outlineLevel="0" collapsed="false">
      <c r="E16" s="4" t="s">
        <v>360</v>
      </c>
      <c r="H16" s="4" t="n">
        <f aca="false">SUM(H5:H14)</f>
        <v>32</v>
      </c>
    </row>
    <row r="17" customFormat="false" ht="15" hidden="false" customHeight="false" outlineLevel="0" collapsed="false">
      <c r="E17" s="4" t="s">
        <v>361</v>
      </c>
      <c r="H17" s="4" t="n">
        <f aca="false">SUMIF(F5:F14,"Alonso",H5:H14)</f>
        <v>10</v>
      </c>
    </row>
    <row r="18" customFormat="false" ht="15" hidden="false" customHeight="false" outlineLevel="0" collapsed="false">
      <c r="E18" s="4" t="s">
        <v>362</v>
      </c>
      <c r="H18" s="4" t="n">
        <f aca="false">SUMIF(F5:F14,"Ignacio",H5:H14)</f>
        <v>9</v>
      </c>
    </row>
    <row r="19" customFormat="false" ht="15" hidden="false" customHeight="false" outlineLevel="0" collapsed="false">
      <c r="E19" s="4" t="s">
        <v>363</v>
      </c>
      <c r="H19" s="4" t="n">
        <f aca="false">SUMIF(F5:F14,"Narayani",H5:H14)</f>
        <v>10</v>
      </c>
    </row>
    <row r="20" customFormat="false" ht="15" hidden="false" customHeight="false" outlineLevel="0" collapsed="false">
      <c r="E20" s="4" t="s">
        <v>364</v>
      </c>
      <c r="H20" s="4" t="n">
        <f aca="false">SUMIF(F5:F14,"Los tres",H5:H14)</f>
        <v>3</v>
      </c>
    </row>
    <row r="21" customFormat="false" ht="15" hidden="false" customHeight="false" outlineLevel="0" collapsed="false">
      <c r="E21" s="4" t="s">
        <v>365</v>
      </c>
      <c r="H21" s="4" t="n">
        <v>13</v>
      </c>
    </row>
    <row r="23" customFormat="false" ht="43.5" hidden="false" customHeight="true" outlineLevel="0" collapsed="false">
      <c r="C23" s="5"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9"/>
    <col collapsed="false" customWidth="true" hidden="false" outlineLevel="0" max="2" min="2" style="0" width="16.39"/>
    <col collapsed="false" customWidth="true" hidden="false" outlineLevel="0" max="3" min="3" style="0" width="26"/>
    <col collapsed="false" customWidth="true" hidden="false" outlineLevel="0" max="4" min="4" style="0" width="9.51"/>
    <col collapsed="false" customWidth="true" hidden="false" outlineLevel="0" max="5" min="5" style="0" width="62"/>
    <col collapsed="false" customWidth="true" hidden="false" outlineLevel="0" max="6" min="6" style="0" width="14"/>
    <col collapsed="false" customWidth="true" hidden="false" outlineLevel="0" max="7" min="7" style="0" width="13"/>
    <col collapsed="false" customWidth="true" hidden="false" outlineLevel="0" max="8" min="8" style="0" width="11"/>
  </cols>
  <sheetData>
    <row r="1" customFormat="false" ht="36" hidden="false" customHeight="true" outlineLevel="0" collapsed="false">
      <c r="B1" s="2" t="s">
        <v>367</v>
      </c>
    </row>
    <row r="2" customFormat="false" ht="21" hidden="false" customHeight="true" outlineLevel="0" collapsed="false">
      <c r="B2" s="3" t="s">
        <v>368</v>
      </c>
    </row>
    <row r="4" customFormat="false" ht="30" hidden="false" customHeight="true" outlineLevel="0" collapsed="false">
      <c r="B4" s="4" t="s">
        <v>335</v>
      </c>
      <c r="C4" s="4" t="s">
        <v>336</v>
      </c>
      <c r="D4" s="4" t="s">
        <v>337</v>
      </c>
      <c r="E4" s="4" t="s">
        <v>338</v>
      </c>
      <c r="F4" s="4" t="s">
        <v>339</v>
      </c>
      <c r="G4" s="4" t="s">
        <v>5</v>
      </c>
      <c r="H4" s="4" t="s">
        <v>340</v>
      </c>
    </row>
    <row r="5" customFormat="false" ht="25.5" hidden="false" customHeight="true" outlineLevel="0" collapsed="false">
      <c r="B5" s="5" t="s">
        <v>22</v>
      </c>
      <c r="C5" s="5" t="s">
        <v>24</v>
      </c>
      <c r="D5" s="5" t="s">
        <v>341</v>
      </c>
      <c r="E5" s="5" t="s">
        <v>369</v>
      </c>
      <c r="F5" s="5" t="s">
        <v>354</v>
      </c>
      <c r="G5" s="5" t="s">
        <v>344</v>
      </c>
      <c r="H5" s="5" t="n">
        <v>3</v>
      </c>
    </row>
    <row r="6" customFormat="false" ht="25.5" hidden="false" customHeight="true" outlineLevel="0" collapsed="false">
      <c r="B6" s="5"/>
      <c r="C6" s="5"/>
      <c r="D6" s="5" t="s">
        <v>345</v>
      </c>
      <c r="E6" s="5" t="s">
        <v>370</v>
      </c>
      <c r="F6" s="5" t="s">
        <v>350</v>
      </c>
      <c r="G6" s="5" t="s">
        <v>344</v>
      </c>
      <c r="H6" s="5" t="n">
        <v>4</v>
      </c>
    </row>
    <row r="7" customFormat="false" ht="25.5" hidden="false" customHeight="true" outlineLevel="0" collapsed="false">
      <c r="B7" s="5"/>
      <c r="C7" s="5"/>
      <c r="D7" s="5" t="s">
        <v>347</v>
      </c>
      <c r="E7" s="5" t="s">
        <v>371</v>
      </c>
      <c r="F7" s="5" t="s">
        <v>354</v>
      </c>
      <c r="G7" s="5" t="s">
        <v>344</v>
      </c>
      <c r="H7" s="5" t="n">
        <v>2</v>
      </c>
    </row>
    <row r="8" customFormat="false" ht="25.5" hidden="false" customHeight="true" outlineLevel="0" collapsed="false">
      <c r="B8" s="5" t="s">
        <v>26</v>
      </c>
      <c r="C8" s="5" t="s">
        <v>28</v>
      </c>
      <c r="D8" s="5" t="s">
        <v>341</v>
      </c>
      <c r="E8" s="5" t="s">
        <v>372</v>
      </c>
      <c r="F8" s="5" t="s">
        <v>354</v>
      </c>
      <c r="G8" s="5" t="s">
        <v>344</v>
      </c>
      <c r="H8" s="5" t="n">
        <v>2</v>
      </c>
    </row>
    <row r="9" customFormat="false" ht="25.5" hidden="false" customHeight="true" outlineLevel="0" collapsed="false">
      <c r="B9" s="5"/>
      <c r="C9" s="5"/>
      <c r="D9" s="5" t="s">
        <v>345</v>
      </c>
      <c r="E9" s="5" t="s">
        <v>373</v>
      </c>
      <c r="F9" s="5" t="s">
        <v>350</v>
      </c>
      <c r="G9" s="5" t="s">
        <v>344</v>
      </c>
      <c r="H9" s="5" t="n">
        <v>3</v>
      </c>
    </row>
    <row r="10" customFormat="false" ht="25.5" hidden="false" customHeight="true" outlineLevel="0" collapsed="false">
      <c r="B10" s="5" t="s">
        <v>29</v>
      </c>
      <c r="C10" s="5" t="s">
        <v>31</v>
      </c>
      <c r="D10" s="5" t="s">
        <v>341</v>
      </c>
      <c r="E10" s="5" t="s">
        <v>374</v>
      </c>
      <c r="F10" s="5" t="s">
        <v>350</v>
      </c>
      <c r="G10" s="5" t="s">
        <v>344</v>
      </c>
      <c r="H10" s="5" t="n">
        <v>3</v>
      </c>
    </row>
    <row r="11" customFormat="false" ht="25.5" hidden="false" customHeight="true" outlineLevel="0" collapsed="false">
      <c r="B11" s="5"/>
      <c r="C11" s="5"/>
      <c r="D11" s="5" t="s">
        <v>345</v>
      </c>
      <c r="E11" s="5" t="s">
        <v>375</v>
      </c>
      <c r="F11" s="5" t="s">
        <v>354</v>
      </c>
      <c r="G11" s="5" t="s">
        <v>344</v>
      </c>
      <c r="H11" s="5" t="n">
        <v>2</v>
      </c>
    </row>
    <row r="12" customFormat="false" ht="25.5" hidden="false" customHeight="true" outlineLevel="0" collapsed="false">
      <c r="B12" s="5" t="s">
        <v>32</v>
      </c>
      <c r="C12" s="5" t="s">
        <v>34</v>
      </c>
      <c r="D12" s="5" t="s">
        <v>341</v>
      </c>
      <c r="E12" s="5" t="s">
        <v>376</v>
      </c>
      <c r="F12" s="5" t="s">
        <v>343</v>
      </c>
      <c r="G12" s="5" t="s">
        <v>344</v>
      </c>
      <c r="H12" s="5" t="n">
        <v>3</v>
      </c>
    </row>
    <row r="13" customFormat="false" ht="25.5" hidden="false" customHeight="true" outlineLevel="0" collapsed="false">
      <c r="B13" s="5"/>
      <c r="C13" s="5"/>
      <c r="D13" s="5" t="s">
        <v>345</v>
      </c>
      <c r="E13" s="5" t="s">
        <v>377</v>
      </c>
      <c r="F13" s="5" t="s">
        <v>350</v>
      </c>
      <c r="G13" s="5" t="s">
        <v>344</v>
      </c>
      <c r="H13" s="5" t="n">
        <v>3</v>
      </c>
    </row>
    <row r="14" customFormat="false" ht="25.5" hidden="false" customHeight="true" outlineLevel="0" collapsed="false">
      <c r="B14" s="5" t="s">
        <v>35</v>
      </c>
      <c r="C14" s="5" t="s">
        <v>37</v>
      </c>
      <c r="D14" s="5" t="s">
        <v>341</v>
      </c>
      <c r="E14" s="5" t="s">
        <v>378</v>
      </c>
      <c r="F14" s="5" t="s">
        <v>354</v>
      </c>
      <c r="G14" s="5" t="s">
        <v>344</v>
      </c>
      <c r="H14" s="5" t="n">
        <v>4</v>
      </c>
    </row>
    <row r="15" customFormat="false" ht="25.5" hidden="false" customHeight="true" outlineLevel="0" collapsed="false">
      <c r="B15" s="5"/>
      <c r="C15" s="5"/>
      <c r="D15" s="5" t="s">
        <v>345</v>
      </c>
      <c r="E15" s="5" t="s">
        <v>379</v>
      </c>
      <c r="F15" s="5" t="s">
        <v>343</v>
      </c>
      <c r="G15" s="5" t="s">
        <v>344</v>
      </c>
      <c r="H15" s="5" t="n">
        <v>3</v>
      </c>
    </row>
    <row r="16" customFormat="false" ht="25.5" hidden="false" customHeight="true" outlineLevel="0" collapsed="false">
      <c r="B16" s="5" t="s">
        <v>38</v>
      </c>
      <c r="C16" s="5" t="s">
        <v>40</v>
      </c>
      <c r="D16" s="5" t="s">
        <v>341</v>
      </c>
      <c r="E16" s="5" t="s">
        <v>380</v>
      </c>
      <c r="F16" s="5" t="s">
        <v>354</v>
      </c>
      <c r="G16" s="5" t="s">
        <v>344</v>
      </c>
      <c r="H16" s="5" t="n">
        <v>5</v>
      </c>
    </row>
    <row r="17" customFormat="false" ht="25.5" hidden="false" customHeight="true" outlineLevel="0" collapsed="false">
      <c r="B17" s="5"/>
      <c r="C17" s="5"/>
      <c r="D17" s="5" t="s">
        <v>345</v>
      </c>
      <c r="E17" s="5" t="s">
        <v>381</v>
      </c>
      <c r="F17" s="5" t="s">
        <v>343</v>
      </c>
      <c r="G17" s="5" t="s">
        <v>344</v>
      </c>
      <c r="H17" s="5" t="n">
        <v>3</v>
      </c>
    </row>
    <row r="18" customFormat="false" ht="25.5" hidden="false" customHeight="true" outlineLevel="0" collapsed="false">
      <c r="B18" s="5"/>
      <c r="C18" s="5"/>
      <c r="D18" s="5" t="s">
        <v>347</v>
      </c>
      <c r="E18" s="5" t="s">
        <v>382</v>
      </c>
      <c r="F18" s="5" t="s">
        <v>354</v>
      </c>
      <c r="G18" s="5" t="s">
        <v>344</v>
      </c>
      <c r="H18" s="5" t="n">
        <v>2</v>
      </c>
    </row>
    <row r="19" customFormat="false" ht="25.5" hidden="false" customHeight="true" outlineLevel="0" collapsed="false">
      <c r="B19" s="5" t="s">
        <v>42</v>
      </c>
      <c r="C19" s="5" t="s">
        <v>44</v>
      </c>
      <c r="D19" s="5" t="s">
        <v>341</v>
      </c>
      <c r="E19" s="5" t="s">
        <v>383</v>
      </c>
      <c r="F19" s="5" t="s">
        <v>343</v>
      </c>
      <c r="G19" s="5" t="s">
        <v>344</v>
      </c>
      <c r="H19" s="5" t="n">
        <v>3</v>
      </c>
    </row>
    <row r="20" customFormat="false" ht="25.5" hidden="false" customHeight="true" outlineLevel="0" collapsed="false">
      <c r="B20" s="5"/>
      <c r="C20" s="5"/>
      <c r="D20" s="5" t="s">
        <v>345</v>
      </c>
      <c r="E20" s="5" t="s">
        <v>384</v>
      </c>
      <c r="F20" s="5" t="s">
        <v>354</v>
      </c>
      <c r="G20" s="5" t="s">
        <v>344</v>
      </c>
      <c r="H20" s="5" t="n">
        <v>4</v>
      </c>
    </row>
    <row r="21" customFormat="false" ht="25.5" hidden="false" customHeight="true" outlineLevel="0" collapsed="false">
      <c r="B21" s="5" t="s">
        <v>45</v>
      </c>
      <c r="C21" s="5" t="s">
        <v>47</v>
      </c>
      <c r="D21" s="5" t="s">
        <v>341</v>
      </c>
      <c r="E21" s="5" t="s">
        <v>385</v>
      </c>
      <c r="F21" s="5" t="s">
        <v>350</v>
      </c>
      <c r="G21" s="5" t="s">
        <v>344</v>
      </c>
      <c r="H21" s="5" t="n">
        <v>2</v>
      </c>
    </row>
    <row r="22" customFormat="false" ht="25.5" hidden="false" customHeight="true" outlineLevel="0" collapsed="false">
      <c r="B22" s="5"/>
      <c r="C22" s="5"/>
      <c r="D22" s="5" t="s">
        <v>345</v>
      </c>
      <c r="E22" s="5" t="s">
        <v>386</v>
      </c>
      <c r="F22" s="5" t="s">
        <v>343</v>
      </c>
      <c r="G22" s="5" t="s">
        <v>344</v>
      </c>
      <c r="H22" s="5" t="n">
        <v>2</v>
      </c>
    </row>
    <row r="24" customFormat="false" ht="15" hidden="false" customHeight="false" outlineLevel="0" collapsed="false">
      <c r="E24" s="4" t="s">
        <v>387</v>
      </c>
      <c r="H24" s="4" t="n">
        <f aca="false">SUM(H5:H22)</f>
        <v>53</v>
      </c>
    </row>
    <row r="25" customFormat="false" ht="15" hidden="false" customHeight="false" outlineLevel="0" collapsed="false">
      <c r="E25" s="4" t="s">
        <v>361</v>
      </c>
      <c r="H25" s="4" t="n">
        <f aca="false">SUMIF(F5:F22,"Alonso",H5:H22)</f>
        <v>14</v>
      </c>
    </row>
    <row r="26" customFormat="false" ht="15" hidden="false" customHeight="false" outlineLevel="0" collapsed="false">
      <c r="E26" s="4" t="s">
        <v>362</v>
      </c>
      <c r="H26" s="4" t="n">
        <f aca="false">SUMIF(F5:F22,"Ignacio",H5:H22)</f>
        <v>15</v>
      </c>
    </row>
    <row r="27" customFormat="false" ht="15" hidden="false" customHeight="false" outlineLevel="0" collapsed="false">
      <c r="E27" s="4" t="s">
        <v>363</v>
      </c>
      <c r="H27" s="4" t="n">
        <f aca="false">SUMIF(F5:F22,"Narayani",H5:H22)</f>
        <v>24</v>
      </c>
    </row>
    <row r="28" customFormat="false" ht="15" hidden="false" customHeight="false" outlineLevel="0" collapsed="false">
      <c r="E28" s="4" t="s">
        <v>364</v>
      </c>
      <c r="H28" s="4" t="n">
        <f aca="false">SUMIF(F5:F22,"Los tres",H5:H22)</f>
        <v>0</v>
      </c>
    </row>
    <row r="29" customFormat="false" ht="15" hidden="false" customHeight="false" outlineLevel="0" collapsed="false">
      <c r="E29" s="4" t="s">
        <v>365</v>
      </c>
      <c r="H29" s="4" t="n">
        <v>22</v>
      </c>
    </row>
    <row r="31" customFormat="false" ht="43.5" hidden="false" customHeight="true" outlineLevel="0" collapsed="false">
      <c r="C31" s="5"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9"/>
    <col collapsed="false" customWidth="true" hidden="false" outlineLevel="0" max="2" min="2" style="0" width="16.39"/>
    <col collapsed="false" customWidth="true" hidden="false" outlineLevel="0" max="3" min="3" style="0" width="26"/>
    <col collapsed="false" customWidth="true" hidden="false" outlineLevel="0" max="4" min="4" style="0" width="9.51"/>
    <col collapsed="false" customWidth="true" hidden="false" outlineLevel="0" max="5" min="5" style="0" width="62"/>
    <col collapsed="false" customWidth="true" hidden="false" outlineLevel="0" max="6" min="6" style="0" width="14"/>
    <col collapsed="false" customWidth="true" hidden="false" outlineLevel="0" max="7" min="7" style="0" width="13"/>
    <col collapsed="false" customWidth="true" hidden="false" outlineLevel="0" max="8" min="8" style="0" width="11"/>
  </cols>
  <sheetData>
    <row r="1" customFormat="false" ht="36" hidden="false" customHeight="true" outlineLevel="0" collapsed="false">
      <c r="B1" s="2" t="s">
        <v>389</v>
      </c>
    </row>
    <row r="2" customFormat="false" ht="21" hidden="false" customHeight="true" outlineLevel="0" collapsed="false">
      <c r="B2" s="3" t="s">
        <v>390</v>
      </c>
    </row>
    <row r="4" customFormat="false" ht="30" hidden="false" customHeight="true" outlineLevel="0" collapsed="false">
      <c r="B4" s="4" t="s">
        <v>335</v>
      </c>
      <c r="C4" s="4" t="s">
        <v>336</v>
      </c>
      <c r="D4" s="4" t="s">
        <v>337</v>
      </c>
      <c r="E4" s="4" t="s">
        <v>338</v>
      </c>
      <c r="F4" s="4" t="s">
        <v>339</v>
      </c>
      <c r="G4" s="4" t="s">
        <v>5</v>
      </c>
      <c r="H4" s="4" t="s">
        <v>340</v>
      </c>
    </row>
    <row r="5" customFormat="false" ht="25.5" hidden="false" customHeight="true" outlineLevel="0" collapsed="false">
      <c r="B5" s="5" t="s">
        <v>48</v>
      </c>
      <c r="C5" s="5" t="s">
        <v>50</v>
      </c>
      <c r="D5" s="5" t="s">
        <v>341</v>
      </c>
      <c r="E5" s="5" t="s">
        <v>391</v>
      </c>
      <c r="F5" s="5" t="s">
        <v>359</v>
      </c>
      <c r="G5" s="5" t="s">
        <v>344</v>
      </c>
      <c r="H5" s="5" t="n">
        <v>3</v>
      </c>
    </row>
    <row r="6" customFormat="false" ht="25.5" hidden="false" customHeight="true" outlineLevel="0" collapsed="false">
      <c r="B6" s="5"/>
      <c r="C6" s="5"/>
      <c r="D6" s="5" t="s">
        <v>345</v>
      </c>
      <c r="E6" s="5" t="s">
        <v>392</v>
      </c>
      <c r="F6" s="5" t="s">
        <v>343</v>
      </c>
      <c r="G6" s="5" t="s">
        <v>344</v>
      </c>
      <c r="H6" s="5" t="n">
        <v>3</v>
      </c>
    </row>
    <row r="7" customFormat="false" ht="25.5" hidden="false" customHeight="true" outlineLevel="0" collapsed="false">
      <c r="B7" s="5"/>
      <c r="C7" s="5"/>
      <c r="D7" s="5" t="s">
        <v>347</v>
      </c>
      <c r="E7" s="5" t="s">
        <v>393</v>
      </c>
      <c r="F7" s="5" t="s">
        <v>350</v>
      </c>
      <c r="G7" s="5" t="s">
        <v>344</v>
      </c>
      <c r="H7" s="5" t="n">
        <v>5</v>
      </c>
    </row>
    <row r="8" customFormat="false" ht="25.5" hidden="false" customHeight="true" outlineLevel="0" collapsed="false">
      <c r="B8" s="5" t="s">
        <v>52</v>
      </c>
      <c r="C8" s="5" t="s">
        <v>54</v>
      </c>
      <c r="D8" s="5" t="s">
        <v>341</v>
      </c>
      <c r="E8" s="5" t="s">
        <v>394</v>
      </c>
      <c r="F8" s="5" t="s">
        <v>354</v>
      </c>
      <c r="G8" s="5" t="s">
        <v>344</v>
      </c>
      <c r="H8" s="5" t="n">
        <v>4</v>
      </c>
    </row>
    <row r="9" customFormat="false" ht="25.5" hidden="false" customHeight="true" outlineLevel="0" collapsed="false">
      <c r="B9" s="5"/>
      <c r="C9" s="5"/>
      <c r="D9" s="5" t="s">
        <v>345</v>
      </c>
      <c r="E9" s="5" t="s">
        <v>395</v>
      </c>
      <c r="F9" s="5" t="s">
        <v>343</v>
      </c>
      <c r="G9" s="5" t="s">
        <v>344</v>
      </c>
      <c r="H9" s="5" t="n">
        <v>3</v>
      </c>
    </row>
    <row r="10" customFormat="false" ht="25.5" hidden="false" customHeight="true" outlineLevel="0" collapsed="false">
      <c r="B10" s="5" t="s">
        <v>55</v>
      </c>
      <c r="C10" s="5" t="s">
        <v>57</v>
      </c>
      <c r="D10" s="5" t="s">
        <v>341</v>
      </c>
      <c r="E10" s="5" t="s">
        <v>396</v>
      </c>
      <c r="F10" s="5" t="s">
        <v>350</v>
      </c>
      <c r="G10" s="5" t="s">
        <v>344</v>
      </c>
      <c r="H10" s="5" t="n">
        <v>3</v>
      </c>
    </row>
    <row r="11" customFormat="false" ht="25.5" hidden="false" customHeight="true" outlineLevel="0" collapsed="false">
      <c r="B11" s="5"/>
      <c r="C11" s="5"/>
      <c r="D11" s="5" t="s">
        <v>345</v>
      </c>
      <c r="E11" s="5" t="s">
        <v>397</v>
      </c>
      <c r="F11" s="5" t="s">
        <v>354</v>
      </c>
      <c r="G11" s="5" t="s">
        <v>344</v>
      </c>
      <c r="H11" s="5" t="n">
        <v>2</v>
      </c>
    </row>
    <row r="12" customFormat="false" ht="25.5" hidden="false" customHeight="true" outlineLevel="0" collapsed="false">
      <c r="B12" s="5" t="s">
        <v>58</v>
      </c>
      <c r="C12" s="5" t="s">
        <v>60</v>
      </c>
      <c r="D12" s="5" t="s">
        <v>341</v>
      </c>
      <c r="E12" s="5" t="s">
        <v>398</v>
      </c>
      <c r="F12" s="5" t="s">
        <v>343</v>
      </c>
      <c r="G12" s="5" t="s">
        <v>344</v>
      </c>
      <c r="H12" s="5" t="n">
        <v>4</v>
      </c>
    </row>
    <row r="13" customFormat="false" ht="25.5" hidden="false" customHeight="true" outlineLevel="0" collapsed="false">
      <c r="B13" s="5"/>
      <c r="C13" s="5"/>
      <c r="D13" s="5" t="s">
        <v>345</v>
      </c>
      <c r="E13" s="5" t="s">
        <v>399</v>
      </c>
      <c r="F13" s="5" t="s">
        <v>350</v>
      </c>
      <c r="G13" s="5" t="s">
        <v>344</v>
      </c>
      <c r="H13" s="5" t="n">
        <v>5</v>
      </c>
    </row>
    <row r="14" customFormat="false" ht="25.5" hidden="false" customHeight="true" outlineLevel="0" collapsed="false">
      <c r="B14" s="5"/>
      <c r="C14" s="5"/>
      <c r="D14" s="5" t="s">
        <v>347</v>
      </c>
      <c r="E14" s="5" t="s">
        <v>400</v>
      </c>
      <c r="F14" s="5" t="s">
        <v>354</v>
      </c>
      <c r="G14" s="5" t="s">
        <v>344</v>
      </c>
      <c r="H14" s="5" t="n">
        <v>6</v>
      </c>
    </row>
    <row r="15" customFormat="false" ht="25.5" hidden="false" customHeight="true" outlineLevel="0" collapsed="false">
      <c r="B15" s="5"/>
      <c r="C15" s="5"/>
      <c r="D15" s="5" t="s">
        <v>357</v>
      </c>
      <c r="E15" s="5" t="s">
        <v>401</v>
      </c>
      <c r="F15" s="5" t="s">
        <v>359</v>
      </c>
      <c r="G15" s="5" t="s">
        <v>344</v>
      </c>
      <c r="H15" s="5" t="n">
        <v>4</v>
      </c>
    </row>
    <row r="16" customFormat="false" ht="25.5" hidden="false" customHeight="true" outlineLevel="0" collapsed="false">
      <c r="B16" s="5" t="s">
        <v>61</v>
      </c>
      <c r="C16" s="5" t="s">
        <v>63</v>
      </c>
      <c r="D16" s="5" t="s">
        <v>341</v>
      </c>
      <c r="E16" s="5" t="s">
        <v>402</v>
      </c>
      <c r="F16" s="5" t="s">
        <v>350</v>
      </c>
      <c r="G16" s="5" t="s">
        <v>344</v>
      </c>
      <c r="H16" s="5" t="n">
        <v>3</v>
      </c>
    </row>
    <row r="17" customFormat="false" ht="25.5" hidden="false" customHeight="true" outlineLevel="0" collapsed="false">
      <c r="B17" s="5"/>
      <c r="C17" s="5"/>
      <c r="D17" s="5" t="s">
        <v>345</v>
      </c>
      <c r="E17" s="5" t="s">
        <v>403</v>
      </c>
      <c r="F17" s="5" t="s">
        <v>354</v>
      </c>
      <c r="G17" s="5" t="s">
        <v>344</v>
      </c>
      <c r="H17" s="5" t="n">
        <v>3</v>
      </c>
    </row>
    <row r="18" customFormat="false" ht="25.5" hidden="false" customHeight="true" outlineLevel="0" collapsed="false">
      <c r="B18" s="5" t="s">
        <v>64</v>
      </c>
      <c r="C18" s="5" t="s">
        <v>66</v>
      </c>
      <c r="D18" s="5" t="s">
        <v>341</v>
      </c>
      <c r="E18" s="5" t="s">
        <v>404</v>
      </c>
      <c r="F18" s="5" t="s">
        <v>343</v>
      </c>
      <c r="G18" s="5" t="s">
        <v>344</v>
      </c>
      <c r="H18" s="5" t="n">
        <v>2</v>
      </c>
    </row>
    <row r="19" customFormat="false" ht="25.5" hidden="false" customHeight="true" outlineLevel="0" collapsed="false">
      <c r="B19" s="5"/>
      <c r="C19" s="5"/>
      <c r="D19" s="5" t="s">
        <v>345</v>
      </c>
      <c r="E19" s="5" t="s">
        <v>405</v>
      </c>
      <c r="F19" s="5" t="s">
        <v>350</v>
      </c>
      <c r="G19" s="5" t="s">
        <v>344</v>
      </c>
      <c r="H19" s="5" t="n">
        <v>2</v>
      </c>
    </row>
    <row r="20" customFormat="false" ht="25.5" hidden="false" customHeight="true" outlineLevel="0" collapsed="false">
      <c r="B20" s="5"/>
      <c r="C20" s="5"/>
      <c r="D20" s="5" t="s">
        <v>347</v>
      </c>
      <c r="E20" s="5" t="s">
        <v>406</v>
      </c>
      <c r="F20" s="5" t="s">
        <v>343</v>
      </c>
      <c r="G20" s="5" t="s">
        <v>344</v>
      </c>
      <c r="H20" s="5" t="n">
        <v>4</v>
      </c>
    </row>
    <row r="21" customFormat="false" ht="25.5" hidden="false" customHeight="true" outlineLevel="0" collapsed="false">
      <c r="B21" s="5" t="s">
        <v>67</v>
      </c>
      <c r="C21" s="5" t="s">
        <v>69</v>
      </c>
      <c r="D21" s="5" t="s">
        <v>341</v>
      </c>
      <c r="E21" s="5" t="s">
        <v>407</v>
      </c>
      <c r="F21" s="5" t="s">
        <v>350</v>
      </c>
      <c r="G21" s="5" t="s">
        <v>344</v>
      </c>
      <c r="H21" s="5" t="n">
        <v>4</v>
      </c>
    </row>
    <row r="22" customFormat="false" ht="25.5" hidden="false" customHeight="true" outlineLevel="0" collapsed="false">
      <c r="B22" s="5"/>
      <c r="C22" s="5"/>
      <c r="D22" s="5" t="s">
        <v>345</v>
      </c>
      <c r="E22" s="5" t="s">
        <v>408</v>
      </c>
      <c r="F22" s="5" t="s">
        <v>354</v>
      </c>
      <c r="G22" s="5" t="s">
        <v>344</v>
      </c>
      <c r="H22" s="5" t="n">
        <v>4</v>
      </c>
    </row>
    <row r="23" customFormat="false" ht="25.5" hidden="false" customHeight="true" outlineLevel="0" collapsed="false">
      <c r="B23" s="5"/>
      <c r="C23" s="5"/>
      <c r="D23" s="5" t="s">
        <v>347</v>
      </c>
      <c r="E23" s="5" t="s">
        <v>409</v>
      </c>
      <c r="F23" s="5" t="s">
        <v>343</v>
      </c>
      <c r="G23" s="5" t="s">
        <v>344</v>
      </c>
      <c r="H23" s="5" t="n">
        <v>2</v>
      </c>
    </row>
    <row r="25" customFormat="false" ht="15" hidden="false" customHeight="false" outlineLevel="0" collapsed="false">
      <c r="E25" s="4" t="s">
        <v>410</v>
      </c>
      <c r="H25" s="4" t="n">
        <f aca="false">SUM(H5:H23)</f>
        <v>66</v>
      </c>
    </row>
    <row r="26" customFormat="false" ht="15" hidden="false" customHeight="false" outlineLevel="0" collapsed="false">
      <c r="E26" s="4" t="s">
        <v>361</v>
      </c>
      <c r="H26" s="4" t="n">
        <f aca="false">SUMIF(F5:F23,"Alonso",H5:H23)</f>
        <v>18</v>
      </c>
    </row>
    <row r="27" customFormat="false" ht="15" hidden="false" customHeight="false" outlineLevel="0" collapsed="false">
      <c r="E27" s="4" t="s">
        <v>362</v>
      </c>
      <c r="H27" s="4" t="n">
        <f aca="false">SUMIF(F5:F23,"Ignacio",H5:H23)</f>
        <v>22</v>
      </c>
    </row>
    <row r="28" customFormat="false" ht="15" hidden="false" customHeight="false" outlineLevel="0" collapsed="false">
      <c r="E28" s="4" t="s">
        <v>363</v>
      </c>
      <c r="H28" s="4" t="n">
        <f aca="false">SUMIF(F5:F23,"Narayani",H5:H23)</f>
        <v>19</v>
      </c>
    </row>
    <row r="29" customFormat="false" ht="15" hidden="false" customHeight="false" outlineLevel="0" collapsed="false">
      <c r="E29" s="4" t="s">
        <v>364</v>
      </c>
      <c r="H29" s="4" t="n">
        <f aca="false">SUMIF(F5:F23,"Los tres",H5:H23)</f>
        <v>7</v>
      </c>
    </row>
    <row r="30" customFormat="false" ht="15" hidden="false" customHeight="false" outlineLevel="0" collapsed="false">
      <c r="E30" s="4" t="s">
        <v>365</v>
      </c>
      <c r="H30" s="4" t="n">
        <v>28</v>
      </c>
    </row>
    <row r="32" customFormat="false" ht="43.5" hidden="false" customHeight="true" outlineLevel="0" collapsed="false">
      <c r="C32" s="5"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0" width="1.33"/>
    <col collapsed="false" customWidth="true" hidden="false" outlineLevel="0" max="2" min="2" style="0" width="16.33"/>
    <col collapsed="false" customWidth="true" hidden="false" outlineLevel="0" max="3" min="3" style="0" width="26"/>
    <col collapsed="false" customWidth="true" hidden="false" outlineLevel="0" max="4" min="4" style="0" width="9.51"/>
    <col collapsed="false" customWidth="true" hidden="false" outlineLevel="0" max="5" min="5" style="0" width="62"/>
    <col collapsed="false" customWidth="true" hidden="false" outlineLevel="0" max="6" min="6" style="0" width="14"/>
    <col collapsed="false" customWidth="true" hidden="false" outlineLevel="0" max="7" min="7" style="0" width="13"/>
    <col collapsed="false" customWidth="true" hidden="false" outlineLevel="0" max="8" min="8" style="0" width="11"/>
  </cols>
  <sheetData>
    <row r="1" customFormat="false" ht="36" hidden="false" customHeight="true" outlineLevel="0" collapsed="false">
      <c r="B1" s="2" t="s">
        <v>412</v>
      </c>
    </row>
    <row r="2" customFormat="false" ht="21" hidden="false" customHeight="true" outlineLevel="0" collapsed="false">
      <c r="B2" s="3" t="s">
        <v>413</v>
      </c>
    </row>
    <row r="4" customFormat="false" ht="30" hidden="false" customHeight="true" outlineLevel="0" collapsed="false">
      <c r="B4" s="4" t="s">
        <v>335</v>
      </c>
      <c r="C4" s="4" t="s">
        <v>336</v>
      </c>
      <c r="D4" s="4" t="s">
        <v>337</v>
      </c>
      <c r="E4" s="4" t="s">
        <v>338</v>
      </c>
      <c r="F4" s="4" t="s">
        <v>339</v>
      </c>
      <c r="G4" s="4" t="s">
        <v>5</v>
      </c>
      <c r="H4" s="4" t="s">
        <v>340</v>
      </c>
    </row>
    <row r="5" customFormat="false" ht="25.5" hidden="false" customHeight="true" outlineLevel="0" collapsed="false">
      <c r="B5" s="5" t="s">
        <v>70</v>
      </c>
      <c r="C5" s="5" t="s">
        <v>72</v>
      </c>
      <c r="D5" s="5" t="s">
        <v>341</v>
      </c>
      <c r="E5" s="5" t="s">
        <v>414</v>
      </c>
      <c r="F5" s="5" t="s">
        <v>350</v>
      </c>
      <c r="G5" s="5" t="s">
        <v>415</v>
      </c>
      <c r="H5" s="5" t="n">
        <v>2</v>
      </c>
    </row>
    <row r="6" customFormat="false" ht="25.5" hidden="false" customHeight="true" outlineLevel="0" collapsed="false">
      <c r="B6" s="5"/>
      <c r="C6" s="5"/>
      <c r="D6" s="5" t="s">
        <v>345</v>
      </c>
      <c r="E6" s="5" t="s">
        <v>416</v>
      </c>
      <c r="F6" s="5" t="s">
        <v>343</v>
      </c>
      <c r="G6" s="5" t="s">
        <v>415</v>
      </c>
      <c r="H6" s="5" t="n">
        <v>3</v>
      </c>
    </row>
    <row r="7" customFormat="false" ht="25.5" hidden="false" customHeight="true" outlineLevel="0" collapsed="false">
      <c r="B7" s="5"/>
      <c r="C7" s="5"/>
      <c r="D7" s="5" t="s">
        <v>347</v>
      </c>
      <c r="E7" s="5" t="s">
        <v>417</v>
      </c>
      <c r="F7" s="5" t="s">
        <v>343</v>
      </c>
      <c r="G7" s="5" t="s">
        <v>415</v>
      </c>
      <c r="H7" s="5" t="n">
        <v>4</v>
      </c>
    </row>
    <row r="8" customFormat="false" ht="25.5" hidden="false" customHeight="true" outlineLevel="0" collapsed="false">
      <c r="B8" s="5"/>
      <c r="C8" s="5"/>
      <c r="D8" s="5" t="s">
        <v>357</v>
      </c>
      <c r="E8" s="5" t="s">
        <v>418</v>
      </c>
      <c r="F8" s="5" t="s">
        <v>343</v>
      </c>
      <c r="G8" s="5" t="s">
        <v>415</v>
      </c>
      <c r="H8" s="5" t="n">
        <v>2</v>
      </c>
    </row>
    <row r="9" customFormat="false" ht="25.5" hidden="false" customHeight="true" outlineLevel="0" collapsed="false">
      <c r="B9" s="5"/>
      <c r="C9" s="5"/>
      <c r="D9" s="5" t="s">
        <v>419</v>
      </c>
      <c r="E9" s="5" t="s">
        <v>420</v>
      </c>
      <c r="F9" s="5" t="s">
        <v>343</v>
      </c>
      <c r="G9" s="5" t="s">
        <v>415</v>
      </c>
      <c r="H9" s="5" t="n">
        <v>1</v>
      </c>
    </row>
    <row r="10" customFormat="false" ht="25.5" hidden="false" customHeight="true" outlineLevel="0" collapsed="false">
      <c r="B10" s="5" t="s">
        <v>76</v>
      </c>
      <c r="C10" s="5" t="s">
        <v>78</v>
      </c>
      <c r="D10" s="5" t="s">
        <v>341</v>
      </c>
      <c r="E10" s="5" t="s">
        <v>421</v>
      </c>
      <c r="F10" s="5" t="s">
        <v>343</v>
      </c>
      <c r="G10" s="5" t="s">
        <v>415</v>
      </c>
      <c r="H10" s="5" t="n">
        <v>2</v>
      </c>
    </row>
    <row r="11" customFormat="false" ht="25.5" hidden="false" customHeight="true" outlineLevel="0" collapsed="false">
      <c r="B11" s="5"/>
      <c r="C11" s="5"/>
      <c r="D11" s="5" t="s">
        <v>345</v>
      </c>
      <c r="E11" s="5" t="s">
        <v>422</v>
      </c>
      <c r="F11" s="5" t="s">
        <v>350</v>
      </c>
      <c r="G11" s="5" t="s">
        <v>415</v>
      </c>
      <c r="H11" s="5" t="n">
        <v>3</v>
      </c>
    </row>
    <row r="12" customFormat="false" ht="25.5" hidden="false" customHeight="true" outlineLevel="0" collapsed="false">
      <c r="B12" s="5"/>
      <c r="C12" s="5"/>
      <c r="D12" s="5" t="s">
        <v>347</v>
      </c>
      <c r="E12" s="5" t="s">
        <v>423</v>
      </c>
      <c r="F12" s="5" t="s">
        <v>359</v>
      </c>
      <c r="G12" s="5" t="s">
        <v>415</v>
      </c>
      <c r="H12" s="5" t="n">
        <v>6</v>
      </c>
    </row>
    <row r="13" customFormat="false" ht="25.5" hidden="false" customHeight="true" outlineLevel="0" collapsed="false">
      <c r="B13" s="5"/>
      <c r="C13" s="5"/>
      <c r="D13" s="5" t="s">
        <v>357</v>
      </c>
      <c r="E13" s="5" t="s">
        <v>424</v>
      </c>
      <c r="F13" s="5" t="s">
        <v>343</v>
      </c>
      <c r="G13" s="5" t="s">
        <v>415</v>
      </c>
      <c r="H13" s="5" t="n">
        <v>1</v>
      </c>
    </row>
    <row r="14" customFormat="false" ht="25.5" hidden="false" customHeight="true" outlineLevel="0" collapsed="false">
      <c r="B14" s="5" t="s">
        <v>80</v>
      </c>
      <c r="C14" s="5" t="s">
        <v>82</v>
      </c>
      <c r="D14" s="5" t="s">
        <v>341</v>
      </c>
      <c r="E14" s="5" t="s">
        <v>425</v>
      </c>
      <c r="F14" s="5" t="s">
        <v>343</v>
      </c>
      <c r="G14" s="5" t="s">
        <v>415</v>
      </c>
      <c r="H14" s="5" t="n">
        <v>1</v>
      </c>
    </row>
    <row r="15" customFormat="false" ht="25.5" hidden="false" customHeight="true" outlineLevel="0" collapsed="false">
      <c r="B15" s="5"/>
      <c r="C15" s="5"/>
      <c r="D15" s="5" t="s">
        <v>345</v>
      </c>
      <c r="E15" s="5" t="s">
        <v>426</v>
      </c>
      <c r="F15" s="5" t="s">
        <v>343</v>
      </c>
      <c r="G15" s="5" t="s">
        <v>415</v>
      </c>
      <c r="H15" s="5" t="n">
        <v>2</v>
      </c>
    </row>
    <row r="16" customFormat="false" ht="25.5" hidden="false" customHeight="true" outlineLevel="0" collapsed="false">
      <c r="B16" s="5" t="s">
        <v>84</v>
      </c>
      <c r="C16" s="5" t="s">
        <v>86</v>
      </c>
      <c r="D16" s="5" t="s">
        <v>341</v>
      </c>
      <c r="E16" s="5" t="s">
        <v>427</v>
      </c>
      <c r="F16" s="5" t="s">
        <v>350</v>
      </c>
      <c r="G16" s="5" t="s">
        <v>415</v>
      </c>
      <c r="H16" s="5" t="n">
        <v>2</v>
      </c>
    </row>
    <row r="17" customFormat="false" ht="25.5" hidden="false" customHeight="true" outlineLevel="0" collapsed="false">
      <c r="B17" s="5"/>
      <c r="C17" s="5"/>
      <c r="D17" s="5" t="s">
        <v>345</v>
      </c>
      <c r="E17" s="5" t="s">
        <v>428</v>
      </c>
      <c r="F17" s="5" t="s">
        <v>354</v>
      </c>
      <c r="G17" s="5" t="s">
        <v>415</v>
      </c>
      <c r="H17" s="5" t="n">
        <v>4</v>
      </c>
    </row>
    <row r="18" customFormat="false" ht="25.5" hidden="false" customHeight="true" outlineLevel="0" collapsed="false">
      <c r="B18" s="5"/>
      <c r="C18" s="5"/>
      <c r="D18" s="5" t="s">
        <v>347</v>
      </c>
      <c r="E18" s="5" t="s">
        <v>429</v>
      </c>
      <c r="F18" s="5" t="s">
        <v>343</v>
      </c>
      <c r="G18" s="5" t="s">
        <v>415</v>
      </c>
      <c r="H18" s="5" t="n">
        <v>3</v>
      </c>
    </row>
    <row r="19" customFormat="false" ht="25.5" hidden="false" customHeight="true" outlineLevel="0" collapsed="false">
      <c r="B19" s="5" t="s">
        <v>88</v>
      </c>
      <c r="C19" s="5" t="s">
        <v>90</v>
      </c>
      <c r="D19" s="5" t="s">
        <v>341</v>
      </c>
      <c r="E19" s="5" t="s">
        <v>430</v>
      </c>
      <c r="F19" s="5" t="s">
        <v>354</v>
      </c>
      <c r="G19" s="5" t="s">
        <v>415</v>
      </c>
      <c r="H19" s="5" t="n">
        <v>4</v>
      </c>
    </row>
    <row r="20" customFormat="false" ht="25.5" hidden="false" customHeight="true" outlineLevel="0" collapsed="false">
      <c r="B20" s="5"/>
      <c r="C20" s="5"/>
      <c r="D20" s="5" t="s">
        <v>345</v>
      </c>
      <c r="E20" s="5" t="s">
        <v>431</v>
      </c>
      <c r="F20" s="5" t="s">
        <v>354</v>
      </c>
      <c r="G20" s="5" t="s">
        <v>415</v>
      </c>
      <c r="H20" s="5" t="n">
        <v>3</v>
      </c>
    </row>
    <row r="21" customFormat="false" ht="25.5" hidden="false" customHeight="true" outlineLevel="0" collapsed="false">
      <c r="B21" s="5"/>
      <c r="C21" s="5"/>
      <c r="D21" s="5" t="s">
        <v>347</v>
      </c>
      <c r="E21" s="5" t="s">
        <v>432</v>
      </c>
      <c r="F21" s="5" t="s">
        <v>354</v>
      </c>
      <c r="G21" s="5" t="s">
        <v>415</v>
      </c>
      <c r="H21" s="5" t="n">
        <v>4</v>
      </c>
    </row>
    <row r="22" customFormat="false" ht="25.5" hidden="false" customHeight="true" outlineLevel="0" collapsed="false">
      <c r="B22" s="5"/>
      <c r="C22" s="5"/>
      <c r="D22" s="5" t="s">
        <v>357</v>
      </c>
      <c r="E22" s="5" t="s">
        <v>433</v>
      </c>
      <c r="F22" s="5" t="s">
        <v>354</v>
      </c>
      <c r="G22" s="5" t="s">
        <v>415</v>
      </c>
      <c r="H22" s="5" t="n">
        <v>2</v>
      </c>
    </row>
    <row r="23" customFormat="false" ht="25.5" hidden="false" customHeight="true" outlineLevel="0" collapsed="false">
      <c r="B23" s="5" t="s">
        <v>92</v>
      </c>
      <c r="C23" s="5" t="s">
        <v>94</v>
      </c>
      <c r="D23" s="5" t="s">
        <v>341</v>
      </c>
      <c r="E23" s="5" t="s">
        <v>434</v>
      </c>
      <c r="F23" s="5" t="s">
        <v>354</v>
      </c>
      <c r="G23" s="5" t="s">
        <v>415</v>
      </c>
      <c r="H23" s="5" t="n">
        <v>3</v>
      </c>
    </row>
    <row r="24" customFormat="false" ht="25.5" hidden="false" customHeight="true" outlineLevel="0" collapsed="false">
      <c r="B24" s="5"/>
      <c r="C24" s="5"/>
      <c r="D24" s="5" t="s">
        <v>345</v>
      </c>
      <c r="E24" s="5" t="s">
        <v>435</v>
      </c>
      <c r="F24" s="5" t="s">
        <v>350</v>
      </c>
      <c r="G24" s="5" t="s">
        <v>415</v>
      </c>
      <c r="H24" s="5" t="n">
        <v>4</v>
      </c>
    </row>
    <row r="25" customFormat="false" ht="25.5" hidden="false" customHeight="true" outlineLevel="0" collapsed="false">
      <c r="B25" s="5"/>
      <c r="C25" s="5"/>
      <c r="D25" s="5" t="s">
        <v>347</v>
      </c>
      <c r="E25" s="5" t="s">
        <v>436</v>
      </c>
      <c r="F25" s="5" t="s">
        <v>350</v>
      </c>
      <c r="G25" s="5" t="s">
        <v>415</v>
      </c>
      <c r="H25" s="5" t="n">
        <v>3</v>
      </c>
    </row>
    <row r="26" customFormat="false" ht="25.5" hidden="false" customHeight="true" outlineLevel="0" collapsed="false">
      <c r="B26" s="5"/>
      <c r="C26" s="5"/>
      <c r="D26" s="5" t="s">
        <v>357</v>
      </c>
      <c r="E26" s="5" t="s">
        <v>437</v>
      </c>
      <c r="F26" s="5" t="s">
        <v>354</v>
      </c>
      <c r="G26" s="5" t="s">
        <v>415</v>
      </c>
      <c r="H26" s="5" t="n">
        <v>3</v>
      </c>
    </row>
    <row r="27" customFormat="false" ht="25.5" hidden="false" customHeight="true" outlineLevel="0" collapsed="false">
      <c r="B27" s="5"/>
      <c r="C27" s="5"/>
      <c r="D27" s="5" t="s">
        <v>419</v>
      </c>
      <c r="E27" s="5" t="s">
        <v>438</v>
      </c>
      <c r="F27" s="5" t="s">
        <v>359</v>
      </c>
      <c r="G27" s="5" t="s">
        <v>415</v>
      </c>
      <c r="H27" s="5" t="n">
        <v>3</v>
      </c>
    </row>
    <row r="29" customFormat="false" ht="15.75" hidden="false" customHeight="true" outlineLevel="0" collapsed="false">
      <c r="E29" s="4" t="s">
        <v>439</v>
      </c>
      <c r="H29" s="4" t="n">
        <f aca="false">SUM(H5:H27)</f>
        <v>65</v>
      </c>
    </row>
    <row r="30" customFormat="false" ht="15.75" hidden="false" customHeight="true" outlineLevel="0" collapsed="false">
      <c r="E30" s="4" t="s">
        <v>361</v>
      </c>
      <c r="H30" s="4" t="n">
        <f aca="false">SUMIF(F5:F27,"Alonso",H5:H27)</f>
        <v>19</v>
      </c>
    </row>
    <row r="31" customFormat="false" ht="15.75" hidden="false" customHeight="true" outlineLevel="0" collapsed="false">
      <c r="E31" s="4" t="s">
        <v>362</v>
      </c>
      <c r="H31" s="4" t="n">
        <f aca="false">SUMIF(F5:F27,"Ignacio",H5:H27)</f>
        <v>14</v>
      </c>
    </row>
    <row r="32" customFormat="false" ht="15.75" hidden="false" customHeight="true" outlineLevel="0" collapsed="false">
      <c r="E32" s="4" t="s">
        <v>363</v>
      </c>
      <c r="H32" s="4" t="n">
        <f aca="false">SUMIF(F5:F27,"Narayani",H5:H27)</f>
        <v>23</v>
      </c>
    </row>
    <row r="33" customFormat="false" ht="15.75" hidden="false" customHeight="true" outlineLevel="0" collapsed="false">
      <c r="E33" s="4" t="s">
        <v>364</v>
      </c>
      <c r="H33" s="4" t="n">
        <f aca="false">SUMIF(F5:F27,"Los tres",H5:H27)</f>
        <v>9</v>
      </c>
    </row>
    <row r="34" customFormat="false" ht="15.75" hidden="false" customHeight="true" outlineLevel="0" collapsed="false">
      <c r="E34" s="4" t="s">
        <v>440</v>
      </c>
      <c r="H34" s="4" t="n">
        <v>27</v>
      </c>
    </row>
    <row r="36" customFormat="false" ht="43.5" hidden="false" customHeight="true" outlineLevel="0" collapsed="false">
      <c r="C36" s="5" t="s">
        <v>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Narayani Laksmi Garcia Chamorro</cp:lastModifiedBy>
  <cp:lastPrinted>2013-11-17T19:01:11Z</cp:lastPrinted>
  <dcterms:modified xsi:type="dcterms:W3CDTF">2026-10-02T20:21:55Z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